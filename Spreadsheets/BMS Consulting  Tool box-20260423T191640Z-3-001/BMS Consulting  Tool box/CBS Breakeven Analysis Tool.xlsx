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 Belfield\OneDrive\Desktop\"/>
    </mc:Choice>
  </mc:AlternateContent>
  <xr:revisionPtr revIDLastSave="0" documentId="13_ncr:1_{4B6CC8FD-7442-48A9-A27D-428F52E39E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E Worksheet" sheetId="4" r:id="rId1"/>
    <sheet name="CURRENT" sheetId="7" r:id="rId2"/>
    <sheet name="PROJECTED" sheetId="10" r:id="rId3"/>
  </sheets>
  <definedNames>
    <definedName name="_xlnm.Print_Area" localSheetId="0">'BE Worksheet'!$A$1:$G$35</definedName>
    <definedName name="_xlnm.Print_Area" localSheetId="1">CURRENT!$A$1:$M$34</definedName>
    <definedName name="_xlnm.Print_Area" localSheetId="2">PROJECTED!$A$1:$N$34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" i="10" l="1"/>
  <c r="C9" i="10"/>
  <c r="C10" i="10"/>
  <c r="B11" i="10"/>
  <c r="C11" i="10"/>
  <c r="C12" i="10"/>
  <c r="C9" i="7"/>
  <c r="C10" i="7"/>
  <c r="C11" i="7"/>
  <c r="C12" i="7"/>
  <c r="C9" i="4"/>
  <c r="F9" i="4"/>
  <c r="F10" i="4" s="1"/>
  <c r="C10" i="4"/>
  <c r="B12" i="7" s="1"/>
  <c r="B11" i="4"/>
  <c r="C11" i="4" s="1"/>
  <c r="C14" i="4"/>
  <c r="C15" i="4"/>
  <c r="C16" i="4"/>
  <c r="C17" i="4"/>
  <c r="C18" i="4"/>
  <c r="C19" i="4"/>
  <c r="B20" i="4"/>
  <c r="C20" i="4" s="1"/>
  <c r="B9" i="7" s="1"/>
  <c r="C23" i="4"/>
  <c r="C24" i="4"/>
  <c r="B25" i="4"/>
  <c r="C25" i="4" s="1"/>
  <c r="B10" i="7" s="1"/>
  <c r="F25" i="4"/>
  <c r="G15" i="4" l="1"/>
  <c r="G17" i="4"/>
  <c r="G19" i="4"/>
  <c r="G9" i="4"/>
  <c r="G14" i="4"/>
  <c r="G16" i="4"/>
  <c r="G18" i="4"/>
  <c r="F20" i="4"/>
  <c r="G20" i="4" s="1"/>
  <c r="B10" i="10" s="1"/>
  <c r="F11" i="4"/>
  <c r="B27" i="4"/>
  <c r="B29" i="4" l="1"/>
  <c r="C29" i="4" s="1"/>
  <c r="B30" i="4"/>
  <c r="C27" i="4"/>
  <c r="B11" i="7" s="1"/>
  <c r="G11" i="4"/>
  <c r="F27" i="4"/>
  <c r="F29" i="4" l="1"/>
  <c r="G29" i="4" s="1"/>
  <c r="F30" i="4"/>
  <c r="G27" i="4"/>
  <c r="B12" i="10" s="1"/>
  <c r="B31" i="4"/>
  <c r="C31" i="4" s="1"/>
  <c r="C30" i="4"/>
  <c r="F31" i="4" l="1"/>
  <c r="G31" i="4" s="1"/>
  <c r="G30" i="4"/>
  <c r="B33" i="4"/>
  <c r="B34" i="4" l="1"/>
  <c r="C34" i="4" s="1"/>
  <c r="B35" i="4"/>
  <c r="F33" i="4"/>
  <c r="F35" i="4" l="1"/>
  <c r="F34" i="4"/>
  <c r="G34" i="4" s="1"/>
</calcChain>
</file>

<file path=xl/sharedStrings.xml><?xml version="1.0" encoding="utf-8"?>
<sst xmlns="http://schemas.openxmlformats.org/spreadsheetml/2006/main" count="104" uniqueCount="38">
  <si>
    <t>RED:</t>
    <phoneticPr fontId="2" type="noConversion"/>
  </si>
  <si>
    <t>YELLOW:</t>
    <phoneticPr fontId="2" type="noConversion"/>
  </si>
  <si>
    <t>GREEN:</t>
    <phoneticPr fontId="2" type="noConversion"/>
  </si>
  <si>
    <t>SALES</t>
  </si>
  <si>
    <t>Profit</t>
  </si>
  <si>
    <t>Total All Expenses</t>
  </si>
  <si>
    <t>FIXED EXPENSE</t>
  </si>
  <si>
    <t xml:space="preserve">  Rent</t>
  </si>
  <si>
    <t xml:space="preserve">  Insurance</t>
  </si>
  <si>
    <t xml:space="preserve">  Officers</t>
  </si>
  <si>
    <t xml:space="preserve">  Depreciation</t>
  </si>
  <si>
    <t xml:space="preserve">  Interest</t>
  </si>
  <si>
    <t xml:space="preserve">  Taxes</t>
  </si>
  <si>
    <t>Total Fixed Expenses</t>
  </si>
  <si>
    <t>VARIABLE EXPENSES</t>
  </si>
  <si>
    <t xml:space="preserve">  COGS</t>
  </si>
  <si>
    <t xml:space="preserve">  Labor</t>
  </si>
  <si>
    <t>Total Variable Expenses</t>
  </si>
  <si>
    <t>Total Other Costs</t>
  </si>
  <si>
    <t>Total Var/Other</t>
  </si>
  <si>
    <t>Total Fix/Other</t>
  </si>
  <si>
    <t>Fix/Profit</t>
  </si>
  <si>
    <t>BREAK-EVEN POINT %</t>
  </si>
  <si>
    <t>BREAK-EVEN POINT DOLLARS</t>
  </si>
  <si>
    <t>BREAK-EVEN DAYS</t>
  </si>
  <si>
    <t>BREAK-EVEN ANALYSIS</t>
  </si>
  <si>
    <t>PROFIT</t>
    <phoneticPr fontId="2" type="noConversion"/>
  </si>
  <si>
    <t>FIXED EXPENSE</t>
    <phoneticPr fontId="2" type="noConversion"/>
  </si>
  <si>
    <t>VARIABLE EXPENSE</t>
    <phoneticPr fontId="2" type="noConversion"/>
  </si>
  <si>
    <t>SEM-VARIABLE EXPENSE</t>
    <phoneticPr fontId="2" type="noConversion"/>
  </si>
  <si>
    <t>BLUE:</t>
    <phoneticPr fontId="2" type="noConversion"/>
  </si>
  <si>
    <t>Date:</t>
  </si>
  <si>
    <t>Client:</t>
  </si>
  <si>
    <t>Job #:</t>
  </si>
  <si>
    <t>Sample Company Name</t>
  </si>
  <si>
    <t>Sample Job #</t>
  </si>
  <si>
    <t>CURRENT 2011</t>
  </si>
  <si>
    <t>PROJECTED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</si>
</sst>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164" formatCode="0.0%"/>
    <numFmt numFmtId="165" formatCode="0.0"/>
    <numFmt numFmtId="166" formatCode="[$-F800]dddd\,\ mmmm\ dd\,\ yyyy"/>
  </numFmts>
  <fonts count="8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Verdana"/>
    </font>
    <font>
      <b/>
      <sz val="12"/>
      <color indexed="8"/>
      <name val="Calibri"/>
    </font>
    <font>
      <sz val="12"/>
      <color indexed="8"/>
      <name val="Calibri"/>
    </font>
    <font>
      <b/>
      <sz val="11"/>
      <name val="Calibri"/>
    </font>
    <font>
      <sz val="18"/>
      <color indexed="8"/>
      <name val="Calibri"/>
      <family val="2"/>
    </font>
    <font>
      <b/>
      <sz val="18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164" fontId="0" fillId="0" borderId="0" xfId="0" applyNumberFormat="1"/>
    <xf numFmtId="164" fontId="4" fillId="0" borderId="0" xfId="0" applyNumberFormat="1" applyFont="1"/>
    <xf numFmtId="164" fontId="0" fillId="0" borderId="0" xfId="0" applyNumberFormat="1" applyProtection="1"/>
    <xf numFmtId="164" fontId="0" fillId="0" borderId="0" xfId="0" applyNumberFormat="1" applyBorder="1"/>
    <xf numFmtId="164" fontId="4" fillId="0" borderId="0" xfId="0" applyNumberFormat="1" applyFont="1" applyBorder="1" applyProtection="1"/>
    <xf numFmtId="164" fontId="4" fillId="0" borderId="0" xfId="0" applyNumberFormat="1" applyFont="1" applyBorder="1"/>
    <xf numFmtId="0" fontId="1" fillId="0" borderId="0" xfId="0" applyFont="1" applyBorder="1"/>
    <xf numFmtId="165" fontId="0" fillId="0" borderId="0" xfId="0" applyNumberFormat="1" applyBorder="1"/>
    <xf numFmtId="164" fontId="0" fillId="0" borderId="0" xfId="0" applyNumberFormat="1" applyBorder="1" applyProtection="1"/>
    <xf numFmtId="164" fontId="4" fillId="0" borderId="0" xfId="0" applyNumberFormat="1" applyFont="1" applyBorder="1" applyProtection="1">
      <protection locked="0"/>
    </xf>
    <xf numFmtId="164" fontId="1" fillId="0" borderId="0" xfId="0" applyNumberFormat="1" applyFont="1" applyBorder="1"/>
    <xf numFmtId="164" fontId="5" fillId="2" borderId="0" xfId="0" applyNumberFormat="1" applyFont="1" applyFill="1" applyBorder="1" applyAlignment="1" applyProtection="1">
      <alignment horizontal="right"/>
    </xf>
    <xf numFmtId="164" fontId="1" fillId="3" borderId="0" xfId="0" applyNumberFormat="1" applyFont="1" applyFill="1" applyBorder="1" applyAlignment="1">
      <alignment horizontal="right"/>
    </xf>
    <xf numFmtId="164" fontId="1" fillId="4" borderId="0" xfId="0" applyNumberFormat="1" applyFont="1" applyFill="1" applyBorder="1" applyAlignment="1" applyProtection="1">
      <alignment horizontal="right"/>
    </xf>
    <xf numFmtId="164" fontId="1" fillId="5" borderId="0" xfId="0" applyNumberFormat="1" applyFont="1" applyFill="1" applyBorder="1" applyAlignment="1" applyProtection="1">
      <alignment horizontal="right"/>
    </xf>
    <xf numFmtId="164" fontId="0" fillId="0" borderId="0" xfId="0" applyNumberFormat="1" applyProtection="1">
      <protection locked="0"/>
    </xf>
    <xf numFmtId="0" fontId="1" fillId="0" borderId="1" xfId="0" applyFont="1" applyFill="1" applyBorder="1" applyProtection="1"/>
    <xf numFmtId="0" fontId="1" fillId="0" borderId="0" xfId="0" applyFont="1" applyFill="1" applyBorder="1" applyProtection="1"/>
    <xf numFmtId="164" fontId="1" fillId="0" borderId="0" xfId="0" applyNumberFormat="1" applyFont="1" applyFill="1" applyBorder="1" applyProtection="1"/>
    <xf numFmtId="42" fontId="1" fillId="6" borderId="0" xfId="0" applyNumberFormat="1" applyFont="1" applyFill="1" applyBorder="1" applyProtection="1">
      <protection locked="0"/>
    </xf>
    <xf numFmtId="164" fontId="0" fillId="0" borderId="0" xfId="0" applyNumberFormat="1" applyFill="1" applyBorder="1" applyProtection="1"/>
    <xf numFmtId="42" fontId="1" fillId="0" borderId="0" xfId="0" applyNumberFormat="1" applyFont="1" applyFill="1" applyBorder="1" applyProtection="1"/>
    <xf numFmtId="164" fontId="0" fillId="0" borderId="2" xfId="0" applyNumberFormat="1" applyFill="1" applyBorder="1" applyProtection="1"/>
    <xf numFmtId="0" fontId="0" fillId="0" borderId="1" xfId="0" applyFill="1" applyBorder="1" applyProtection="1"/>
    <xf numFmtId="0" fontId="0" fillId="0" borderId="0" xfId="0" applyFill="1" applyBorder="1" applyProtection="1"/>
    <xf numFmtId="164" fontId="0" fillId="6" borderId="2" xfId="0" applyNumberFormat="1" applyFill="1" applyBorder="1" applyProtection="1">
      <protection locked="0"/>
    </xf>
    <xf numFmtId="164" fontId="0" fillId="0" borderId="1" xfId="0" applyNumberFormat="1" applyBorder="1"/>
    <xf numFmtId="42" fontId="0" fillId="0" borderId="0" xfId="0" applyNumberFormat="1" applyFill="1" applyBorder="1" applyProtection="1"/>
    <xf numFmtId="164" fontId="0" fillId="0" borderId="2" xfId="0" applyNumberFormat="1" applyBorder="1"/>
    <xf numFmtId="42" fontId="0" fillId="6" borderId="0" xfId="0" applyNumberFormat="1" applyFill="1" applyBorder="1" applyProtection="1">
      <protection locked="0"/>
    </xf>
    <xf numFmtId="42" fontId="1" fillId="7" borderId="0" xfId="0" applyNumberFormat="1" applyFont="1" applyFill="1" applyBorder="1" applyProtection="1"/>
    <xf numFmtId="42" fontId="0" fillId="7" borderId="0" xfId="0" applyNumberFormat="1" applyFill="1" applyBorder="1" applyProtection="1"/>
    <xf numFmtId="164" fontId="0" fillId="7" borderId="2" xfId="0" applyNumberFormat="1" applyFill="1" applyBorder="1" applyProtection="1"/>
    <xf numFmtId="164" fontId="3" fillId="0" borderId="0" xfId="0" applyNumberFormat="1" applyFont="1" applyFill="1" applyBorder="1" applyProtection="1"/>
    <xf numFmtId="164" fontId="3" fillId="0" borderId="2" xfId="0" applyNumberFormat="1" applyFont="1" applyFill="1" applyBorder="1" applyProtection="1"/>
    <xf numFmtId="164" fontId="6" fillId="0" borderId="3" xfId="0" applyNumberFormat="1" applyFont="1" applyFill="1" applyBorder="1" applyAlignment="1" applyProtection="1">
      <alignment horizontal="center" vertical="center"/>
      <protection locked="0"/>
    </xf>
    <xf numFmtId="164" fontId="6" fillId="0" borderId="3" xfId="0" applyNumberFormat="1" applyFont="1" applyFill="1" applyBorder="1" applyAlignment="1" applyProtection="1">
      <alignment horizontal="right" vertical="center"/>
      <protection locked="0"/>
    </xf>
    <xf numFmtId="164" fontId="6" fillId="0" borderId="0" xfId="0" applyNumberFormat="1" applyFont="1" applyBorder="1" applyProtection="1">
      <protection locked="0"/>
    </xf>
    <xf numFmtId="164" fontId="6" fillId="0" borderId="0" xfId="0" applyNumberFormat="1" applyFont="1" applyBorder="1"/>
    <xf numFmtId="0" fontId="1" fillId="0" borderId="4" xfId="0" applyFont="1" applyFill="1" applyBorder="1" applyProtection="1"/>
    <xf numFmtId="0" fontId="1" fillId="0" borderId="5" xfId="0" applyFont="1" applyFill="1" applyBorder="1" applyProtection="1"/>
    <xf numFmtId="164" fontId="1" fillId="0" borderId="5" xfId="0" applyNumberFormat="1" applyFont="1" applyFill="1" applyBorder="1" applyProtection="1"/>
    <xf numFmtId="164" fontId="1" fillId="0" borderId="6" xfId="0" applyNumberFormat="1" applyFont="1" applyFill="1" applyBorder="1" applyProtection="1"/>
    <xf numFmtId="0" fontId="1" fillId="0" borderId="7" xfId="0" applyFont="1" applyFill="1" applyBorder="1" applyProtection="1"/>
    <xf numFmtId="42" fontId="1" fillId="0" borderId="8" xfId="0" applyNumberFormat="1" applyFont="1" applyFill="1" applyBorder="1" applyProtection="1"/>
    <xf numFmtId="164" fontId="0" fillId="0" borderId="8" xfId="0" applyNumberFormat="1" applyBorder="1"/>
    <xf numFmtId="0" fontId="1" fillId="0" borderId="8" xfId="0" applyFont="1" applyFill="1" applyBorder="1" applyProtection="1"/>
    <xf numFmtId="164" fontId="0" fillId="0" borderId="9" xfId="0" applyNumberFormat="1" applyBorder="1"/>
    <xf numFmtId="164" fontId="6" fillId="0" borderId="3" xfId="0" applyNumberFormat="1" applyFont="1" applyFill="1" applyBorder="1" applyAlignment="1" applyProtection="1">
      <alignment horizontal="right"/>
      <protection locked="0"/>
    </xf>
    <xf numFmtId="164" fontId="6" fillId="9" borderId="10" xfId="0" applyNumberFormat="1" applyFont="1" applyFill="1" applyBorder="1" applyAlignment="1" applyProtection="1">
      <alignment horizontal="center" vertical="center"/>
      <protection locked="0"/>
    </xf>
    <xf numFmtId="164" fontId="6" fillId="9" borderId="11" xfId="0" applyNumberFormat="1" applyFont="1" applyFill="1" applyBorder="1" applyAlignment="1" applyProtection="1">
      <alignment horizontal="center" vertical="center"/>
      <protection locked="0"/>
    </xf>
    <xf numFmtId="164" fontId="6" fillId="9" borderId="12" xfId="0" applyNumberFormat="1" applyFont="1" applyFill="1" applyBorder="1" applyAlignment="1" applyProtection="1">
      <alignment horizontal="center" vertical="center"/>
      <protection locked="0"/>
    </xf>
    <xf numFmtId="166" fontId="6" fillId="9" borderId="10" xfId="0" applyNumberFormat="1" applyFont="1" applyFill="1" applyBorder="1" applyAlignment="1" applyProtection="1">
      <alignment horizontal="center" vertical="center"/>
      <protection locked="0"/>
    </xf>
    <xf numFmtId="166" fontId="6" fillId="9" borderId="11" xfId="0" applyNumberFormat="1" applyFont="1" applyFill="1" applyBorder="1" applyAlignment="1" applyProtection="1">
      <alignment horizontal="center" vertical="center"/>
      <protection locked="0"/>
    </xf>
    <xf numFmtId="166" fontId="6" fillId="9" borderId="12" xfId="0" applyNumberFormat="1" applyFont="1" applyFill="1" applyBorder="1" applyAlignment="1" applyProtection="1">
      <alignment horizontal="center" vertical="center"/>
      <protection locked="0"/>
    </xf>
    <xf numFmtId="0" fontId="7" fillId="0" borderId="10" xfId="0" applyFont="1" applyFill="1" applyBorder="1" applyAlignment="1" applyProtection="1">
      <alignment horizontal="center"/>
    </xf>
    <xf numFmtId="0" fontId="7" fillId="0" borderId="11" xfId="0" applyFont="1" applyFill="1" applyBorder="1" applyAlignment="1" applyProtection="1">
      <alignment horizontal="center"/>
    </xf>
    <xf numFmtId="0" fontId="7" fillId="0" borderId="12" xfId="0" applyFont="1" applyFill="1" applyBorder="1" applyAlignment="1" applyProtection="1">
      <alignment horizontal="center"/>
    </xf>
    <xf numFmtId="164" fontId="6" fillId="8" borderId="10" xfId="0" applyNumberFormat="1" applyFont="1" applyFill="1" applyBorder="1" applyAlignment="1" applyProtection="1">
      <alignment horizontal="center" vertical="center"/>
      <protection locked="0"/>
    </xf>
    <xf numFmtId="164" fontId="6" fillId="8" borderId="11" xfId="0" applyNumberFormat="1" applyFont="1" applyFill="1" applyBorder="1" applyAlignment="1" applyProtection="1">
      <alignment horizontal="center" vertical="center"/>
      <protection locked="0"/>
    </xf>
    <xf numFmtId="164" fontId="6" fillId="8" borderId="12" xfId="0" applyNumberFormat="1" applyFont="1" applyFill="1" applyBorder="1" applyAlignment="1" applyProtection="1">
      <alignment horizontal="center" vertical="center"/>
      <protection locked="0"/>
    </xf>
    <xf numFmtId="166" fontId="6" fillId="8" borderId="10" xfId="0" applyNumberFormat="1" applyFont="1" applyFill="1" applyBorder="1" applyAlignment="1" applyProtection="1">
      <alignment horizontal="center" vertical="center"/>
      <protection locked="0"/>
    </xf>
    <xf numFmtId="166" fontId="6" fillId="8" borderId="11" xfId="0" applyNumberFormat="1" applyFont="1" applyFill="1" applyBorder="1" applyAlignment="1" applyProtection="1">
      <alignment horizontal="center" vertical="center"/>
      <protection locked="0"/>
    </xf>
    <xf numFmtId="166" fontId="6" fillId="8" borderId="12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Current Profit &amp; Expense Distribution</a:t>
            </a:r>
          </a:p>
        </c:rich>
      </c:tx>
      <c:layout>
        <c:manualLayout>
          <c:xMode val="edge"/>
          <c:yMode val="edge"/>
          <c:x val="0.17049188995260484"/>
          <c:y val="4.52982290739156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844895986467205"/>
          <c:y val="0.13594771241830103"/>
          <c:w val="0.64808184143222503"/>
          <c:h val="0.82810457516339908"/>
        </c:manualLayout>
      </c:layout>
      <c:pieChart>
        <c:varyColors val="1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explosion val="2"/>
          <c:dPt>
            <c:idx val="0"/>
            <c:bubble3D val="0"/>
            <c:spPr>
              <a:solidFill>
                <a:srgbClr val="558ED5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21D9-424B-928E-6E67D8E02DFD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21D9-424B-928E-6E67D8E02DF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21D9-424B-928E-6E67D8E02DFD}"/>
              </c:ext>
            </c:extLst>
          </c:dPt>
          <c:dPt>
            <c:idx val="3"/>
            <c:bubble3D val="0"/>
            <c:spPr>
              <a:solidFill>
                <a:srgbClr val="77933C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21D9-424B-928E-6E67D8E02DFD}"/>
              </c:ext>
            </c:extLst>
          </c:dPt>
          <c:dLbls>
            <c:dLbl>
              <c:idx val="0"/>
              <c:layout>
                <c:manualLayout>
                  <c:x val="-2.0087992598047548E-2"/>
                  <c:y val="0.1437207823316589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D9-424B-928E-6E67D8E02DFD}"/>
                </c:ext>
              </c:extLst>
            </c:dLbl>
            <c:dLbl>
              <c:idx val="1"/>
              <c:layout>
                <c:manualLayout>
                  <c:x val="-3.0993787647047716E-2"/>
                  <c:y val="-0.175641688785303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D9-424B-928E-6E67D8E02DFD}"/>
                </c:ext>
              </c:extLst>
            </c:dLbl>
            <c:dLbl>
              <c:idx val="2"/>
              <c:layout>
                <c:manualLayout>
                  <c:x val="4.3142053286504653E-2"/>
                  <c:y val="0.1275064749681896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D9-424B-928E-6E67D8E02DFD}"/>
                </c:ext>
              </c:extLst>
            </c:dLbl>
            <c:dLbl>
              <c:idx val="3"/>
              <c:layout>
                <c:manualLayout>
                  <c:x val="1.8804546913650182E-2"/>
                  <c:y val="0.1039766058456520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1D9-424B-928E-6E67D8E02DF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CURRENT!$B$9:$B$12</c:f>
              <c:numCache>
                <c:formatCode>0.0%</c:formatCode>
                <c:ptCount val="4"/>
                <c:pt idx="0">
                  <c:v>7.6914251384085211E-2</c:v>
                </c:pt>
                <c:pt idx="1">
                  <c:v>0.84165731426974122</c:v>
                </c:pt>
                <c:pt idx="2">
                  <c:v>8.6643525568549248E-2</c:v>
                </c:pt>
                <c:pt idx="3">
                  <c:v>-5.215091222375662E-3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D9-424B-928E-6E67D8E02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Current Profit &amp; Expense Distribution</a:t>
            </a:r>
          </a:p>
        </c:rich>
      </c:tx>
      <c:layout>
        <c:manualLayout>
          <c:xMode val="edge"/>
          <c:yMode val="edge"/>
          <c:x val="0.16611475139034196"/>
          <c:y val="2.75598698721418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844895986467216"/>
          <c:y val="0.13594771241830109"/>
          <c:w val="0.64808184143222503"/>
          <c:h val="0.82810457516339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558ED5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8F74-4327-BCDC-F6230936A4BD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8F74-4327-BCDC-F6230936A4BD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8F74-4327-BCDC-F6230936A4BD}"/>
              </c:ext>
            </c:extLst>
          </c:dPt>
          <c:dPt>
            <c:idx val="3"/>
            <c:invertIfNegative val="0"/>
            <c:bubble3D val="0"/>
            <c:spPr>
              <a:solidFill>
                <a:srgbClr val="77933C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8F74-4327-BCDC-F6230936A4BD}"/>
              </c:ext>
            </c:extLst>
          </c:dPt>
          <c:dLbls>
            <c:dLbl>
              <c:idx val="0"/>
              <c:layout>
                <c:manualLayout>
                  <c:x val="-2.2070143916574185E-3"/>
                  <c:y val="0.1472917386481424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74-4327-BCDC-F6230936A4BD}"/>
                </c:ext>
              </c:extLst>
            </c:dLbl>
            <c:dLbl>
              <c:idx val="1"/>
              <c:layout>
                <c:manualLayout>
                  <c:x val="7.4477267522767704E-4"/>
                  <c:y val="0.7821481090845168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74-4327-BCDC-F6230936A4BD}"/>
                </c:ext>
              </c:extLst>
            </c:dLbl>
            <c:dLbl>
              <c:idx val="2"/>
              <c:layout>
                <c:manualLayout>
                  <c:x val="-9.0877063185893707E-4"/>
                  <c:y val="0.155764640274469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74-4327-BCDC-F6230936A4BD}"/>
                </c:ext>
              </c:extLst>
            </c:dLbl>
            <c:dLbl>
              <c:idx val="3"/>
              <c:layout>
                <c:manualLayout>
                  <c:x val="-3.5508816431502289E-3"/>
                  <c:y val="-3.7981972807672689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74-4327-BCDC-F6230936A4B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CURRENT!$B$9:$B$12</c:f>
              <c:numCache>
                <c:formatCode>0.0%</c:formatCode>
                <c:ptCount val="4"/>
                <c:pt idx="0">
                  <c:v>7.6914251384085211E-2</c:v>
                </c:pt>
                <c:pt idx="1">
                  <c:v>0.84165731426974122</c:v>
                </c:pt>
                <c:pt idx="2">
                  <c:v>8.6643525568549248E-2</c:v>
                </c:pt>
                <c:pt idx="3">
                  <c:v>-5.215091222375662E-3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74-4327-BCDC-F6230936A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6851840"/>
        <c:axId val="96853376"/>
      </c:barChart>
      <c:catAx>
        <c:axId val="96851840"/>
        <c:scaling>
          <c:orientation val="minMax"/>
        </c:scaling>
        <c:delete val="1"/>
        <c:axPos val="b"/>
        <c:majorTickMark val="out"/>
        <c:minorTickMark val="none"/>
        <c:tickLblPos val="nextTo"/>
        <c:crossAx val="96853376"/>
        <c:crosses val="autoZero"/>
        <c:auto val="1"/>
        <c:lblAlgn val="ctr"/>
        <c:lblOffset val="100"/>
        <c:noMultiLvlLbl val="0"/>
      </c:catAx>
      <c:valAx>
        <c:axId val="96853376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968518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Projected Profit &amp; Expense Distribution</a:t>
            </a:r>
          </a:p>
        </c:rich>
      </c:tx>
      <c:layout>
        <c:manualLayout>
          <c:xMode val="edge"/>
          <c:yMode val="edge"/>
          <c:x val="0.11135628395287797"/>
          <c:y val="5.39000786827248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844895986467205"/>
          <c:y val="0.13594771241830103"/>
          <c:w val="0.64808184143222503"/>
          <c:h val="0.82810457516339908"/>
        </c:manualLayout>
      </c:layout>
      <c:pieChart>
        <c:varyColors val="1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dPt>
            <c:idx val="0"/>
            <c:bubble3D val="0"/>
            <c:spPr>
              <a:solidFill>
                <a:srgbClr val="77933C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D126-4166-BC70-F41AD2E9391B}"/>
              </c:ext>
            </c:extLst>
          </c:dPt>
          <c:dPt>
            <c:idx val="1"/>
            <c:bubble3D val="0"/>
            <c:spPr>
              <a:solidFill>
                <a:srgbClr val="558ED5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D126-4166-BC70-F41AD2E9391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D126-4166-BC70-F41AD2E9391B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D126-4166-BC70-F41AD2E9391B}"/>
              </c:ext>
            </c:extLst>
          </c:dPt>
          <c:dLbls>
            <c:dLbl>
              <c:idx val="0"/>
              <c:layout>
                <c:manualLayout>
                  <c:x val="-8.4015349683313215E-2"/>
                  <c:y val="0.15328561202576901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26-4166-BC70-F41AD2E9391B}"/>
                </c:ext>
              </c:extLst>
            </c:dLbl>
            <c:dLbl>
              <c:idx val="1"/>
              <c:layout>
                <c:manualLayout>
                  <c:x val="-0.10750173896107501"/>
                  <c:y val="7.582561460559889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26-4166-BC70-F41AD2E9391B}"/>
                </c:ext>
              </c:extLst>
            </c:dLbl>
            <c:dLbl>
              <c:idx val="2"/>
              <c:layout>
                <c:manualLayout>
                  <c:x val="3.1882436956864491E-2"/>
                  <c:y val="-0.2144345993873735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26-4166-BC70-F41AD2E9391B}"/>
                </c:ext>
              </c:extLst>
            </c:dLbl>
            <c:dLbl>
              <c:idx val="3"/>
              <c:layout>
                <c:manualLayout>
                  <c:x val="3.4751340564153528E-2"/>
                  <c:y val="0.1106390151337459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126-4166-BC70-F41AD2E9391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PROJECTED!$B$9:$B$12</c:f>
              <c:numCache>
                <c:formatCode>0.0%</c:formatCode>
                <c:ptCount val="4"/>
                <c:pt idx="0">
                  <c:v>0.126</c:v>
                </c:pt>
                <c:pt idx="1">
                  <c:v>7.6914251384085211E-2</c:v>
                </c:pt>
                <c:pt idx="2">
                  <c:v>0.72299999999999998</c:v>
                </c:pt>
                <c:pt idx="3">
                  <c:v>7.4085748615914743E-2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26-4166-BC70-F41AD2E93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Projected Profit &amp; Expense Distribution</a:t>
            </a:r>
          </a:p>
        </c:rich>
      </c:tx>
      <c:layout>
        <c:manualLayout>
          <c:xMode val="edge"/>
          <c:yMode val="edge"/>
          <c:x val="0.11156585426821647"/>
          <c:y val="2.87388479910726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844895986467216"/>
          <c:y val="0.13594771241830109"/>
          <c:w val="0.64808184143222503"/>
          <c:h val="0.790468980521529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77933C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76EA-44A1-9ABF-5499C0A455CA}"/>
              </c:ext>
            </c:extLst>
          </c:dPt>
          <c:dPt>
            <c:idx val="1"/>
            <c:invertIfNegative val="0"/>
            <c:bubble3D val="0"/>
            <c:spPr>
              <a:solidFill>
                <a:srgbClr val="558ED5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76EA-44A1-9ABF-5499C0A455CA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76EA-44A1-9ABF-5499C0A455CA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76EA-44A1-9ABF-5499C0A455CA}"/>
              </c:ext>
            </c:extLst>
          </c:dPt>
          <c:dLbls>
            <c:dLbl>
              <c:idx val="0"/>
              <c:layout>
                <c:manualLayout>
                  <c:x val="2.5646223518192121E-3"/>
                  <c:y val="0.2239203499960791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EA-44A1-9ABF-5499C0A455CA}"/>
                </c:ext>
              </c:extLst>
            </c:dLbl>
            <c:dLbl>
              <c:idx val="1"/>
              <c:layout>
                <c:manualLayout>
                  <c:x val="6.0144098981920217E-3"/>
                  <c:y val="0.1908891508874822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EA-44A1-9ABF-5499C0A455CA}"/>
                </c:ext>
              </c:extLst>
            </c:dLbl>
            <c:dLbl>
              <c:idx val="2"/>
              <c:layout>
                <c:manualLayout>
                  <c:x val="2.227292926367717E-3"/>
                  <c:y val="0.7941614282145129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6EA-44A1-9ABF-5499C0A455CA}"/>
                </c:ext>
              </c:extLst>
            </c:dLbl>
            <c:dLbl>
              <c:idx val="3"/>
              <c:layout>
                <c:manualLayout>
                  <c:x val="6.5981955172534313E-3"/>
                  <c:y val="0.1937281275246239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6EA-44A1-9ABF-5499C0A455C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PROJECTED!$B$9:$B$12</c:f>
              <c:numCache>
                <c:formatCode>0.0%</c:formatCode>
                <c:ptCount val="4"/>
                <c:pt idx="0">
                  <c:v>0.126</c:v>
                </c:pt>
                <c:pt idx="1">
                  <c:v>7.6914251384085211E-2</c:v>
                </c:pt>
                <c:pt idx="2">
                  <c:v>0.72299999999999998</c:v>
                </c:pt>
                <c:pt idx="3">
                  <c:v>7.4085748615914743E-2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EA-44A1-9ABF-5499C0A45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6769152"/>
        <c:axId val="96770688"/>
      </c:barChart>
      <c:catAx>
        <c:axId val="96769152"/>
        <c:scaling>
          <c:orientation val="minMax"/>
        </c:scaling>
        <c:delete val="1"/>
        <c:axPos val="b"/>
        <c:majorTickMark val="out"/>
        <c:minorTickMark val="none"/>
        <c:tickLblPos val="nextTo"/>
        <c:crossAx val="96770688"/>
        <c:crosses val="autoZero"/>
        <c:auto val="1"/>
        <c:lblAlgn val="ctr"/>
        <c:lblOffset val="100"/>
        <c:noMultiLvlLbl val="0"/>
      </c:catAx>
      <c:valAx>
        <c:axId val="96770688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967691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0</xdr:row>
      <xdr:rowOff>0</xdr:rowOff>
    </xdr:from>
    <xdr:to>
      <xdr:col>5</xdr:col>
      <xdr:colOff>85725</xdr:colOff>
      <xdr:row>2</xdr:row>
      <xdr:rowOff>257175</xdr:rowOff>
    </xdr:to>
    <xdr:pic>
      <xdr:nvPicPr>
        <xdr:cNvPr id="5185" name="Picture 3" descr="C:\Users\TIM MCCLAIN\AppData\Local\Microsoft\Windows\Temporary Internet Files\Content.Word\11024 Cornerstone Solutions Package_logo.jpg">
          <a:extLst>
            <a:ext uri="{FF2B5EF4-FFF2-40B4-BE49-F238E27FC236}">
              <a16:creationId xmlns:a16="http://schemas.microsoft.com/office/drawing/2014/main" id="{00000000-0008-0000-0000-00004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0"/>
          <a:ext cx="261937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8</xdr:row>
      <xdr:rowOff>19050</xdr:rowOff>
    </xdr:from>
    <xdr:to>
      <xdr:col>6</xdr:col>
      <xdr:colOff>581025</xdr:colOff>
      <xdr:row>28</xdr:row>
      <xdr:rowOff>571500</xdr:rowOff>
    </xdr:to>
    <xdr:graphicFrame macro="">
      <xdr:nvGraphicFramePr>
        <xdr:cNvPr id="26735" name="Chart 2">
          <a:extLst>
            <a:ext uri="{FF2B5EF4-FFF2-40B4-BE49-F238E27FC236}">
              <a16:creationId xmlns:a16="http://schemas.microsoft.com/office/drawing/2014/main" id="{00000000-0008-0000-0100-00006F6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266700</xdr:colOff>
      <xdr:row>8</xdr:row>
      <xdr:rowOff>28575</xdr:rowOff>
    </xdr:from>
    <xdr:to>
      <xdr:col>12</xdr:col>
      <xdr:colOff>638175</xdr:colOff>
      <xdr:row>28</xdr:row>
      <xdr:rowOff>581025</xdr:rowOff>
    </xdr:to>
    <xdr:graphicFrame macro="">
      <xdr:nvGraphicFramePr>
        <xdr:cNvPr id="26736" name="Chart 2">
          <a:extLst>
            <a:ext uri="{FF2B5EF4-FFF2-40B4-BE49-F238E27FC236}">
              <a16:creationId xmlns:a16="http://schemas.microsoft.com/office/drawing/2014/main" id="{00000000-0008-0000-0100-0000706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7</xdr:row>
      <xdr:rowOff>180974</xdr:rowOff>
    </xdr:from>
    <xdr:to>
      <xdr:col>6</xdr:col>
      <xdr:colOff>561975</xdr:colOff>
      <xdr:row>28</xdr:row>
      <xdr:rowOff>709082</xdr:rowOff>
    </xdr:to>
    <xdr:graphicFrame macro="">
      <xdr:nvGraphicFramePr>
        <xdr:cNvPr id="50269" name="Chart 2">
          <a:extLst>
            <a:ext uri="{FF2B5EF4-FFF2-40B4-BE49-F238E27FC236}">
              <a16:creationId xmlns:a16="http://schemas.microsoft.com/office/drawing/2014/main" id="{00000000-0008-0000-0200-00005DC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209550</xdr:colOff>
      <xdr:row>7</xdr:row>
      <xdr:rowOff>161924</xdr:rowOff>
    </xdr:from>
    <xdr:to>
      <xdr:col>13</xdr:col>
      <xdr:colOff>581025</xdr:colOff>
      <xdr:row>28</xdr:row>
      <xdr:rowOff>709082</xdr:rowOff>
    </xdr:to>
    <xdr:graphicFrame macro="">
      <xdr:nvGraphicFramePr>
        <xdr:cNvPr id="50270" name="Chart 2">
          <a:extLst>
            <a:ext uri="{FF2B5EF4-FFF2-40B4-BE49-F238E27FC236}">
              <a16:creationId xmlns:a16="http://schemas.microsoft.com/office/drawing/2014/main" id="{00000000-0008-0000-0200-00005EC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zoomScale="85" zoomScaleNormal="85" workbookViewId="0">
      <selection activeCell="B8" sqref="B8"/>
    </sheetView>
  </sheetViews>
  <sheetFormatPr defaultColWidth="8.85546875" defaultRowHeight="15" x14ac:dyDescent="0.25"/>
  <cols>
    <col min="1" max="1" width="24.140625" style="2" customWidth="1"/>
    <col min="2" max="2" width="12.7109375" style="2" customWidth="1"/>
    <col min="3" max="3" width="8.85546875" style="2"/>
    <col min="4" max="4" width="2.85546875" style="2" customWidth="1"/>
    <col min="5" max="5" width="30.5703125" style="2" customWidth="1"/>
    <col min="6" max="6" width="11.85546875" style="2" customWidth="1"/>
    <col min="7" max="7" width="12.140625" style="2" customWidth="1"/>
    <col min="8" max="16384" width="8.85546875" style="2"/>
  </cols>
  <sheetData>
    <row r="1" spans="1:8" ht="21.75" customHeight="1" x14ac:dyDescent="0.25"/>
    <row r="2" spans="1:8" ht="21.75" customHeight="1" x14ac:dyDescent="0.25">
      <c r="A2" s="11"/>
      <c r="B2" s="11"/>
      <c r="C2" s="11"/>
      <c r="D2" s="11"/>
      <c r="E2" s="11"/>
      <c r="F2" s="11"/>
      <c r="G2" s="11"/>
      <c r="H2" s="17"/>
    </row>
    <row r="3" spans="1:8" ht="21.75" customHeight="1" thickBot="1" x14ac:dyDescent="0.3">
      <c r="A3" s="11"/>
      <c r="B3" s="11"/>
      <c r="C3" s="11"/>
      <c r="D3" s="11"/>
      <c r="E3" s="11"/>
      <c r="F3" s="11"/>
      <c r="G3" s="11"/>
      <c r="H3" s="17"/>
    </row>
    <row r="4" spans="1:8" ht="21.75" customHeight="1" thickBot="1" x14ac:dyDescent="0.4">
      <c r="B4" s="50" t="s">
        <v>32</v>
      </c>
      <c r="C4" s="51" t="s">
        <v>34</v>
      </c>
      <c r="D4" s="52"/>
      <c r="E4" s="52"/>
      <c r="F4" s="53"/>
      <c r="G4" s="11"/>
      <c r="H4" s="17"/>
    </row>
    <row r="5" spans="1:8" ht="21.75" customHeight="1" thickBot="1" x14ac:dyDescent="0.4">
      <c r="B5" s="50" t="s">
        <v>33</v>
      </c>
      <c r="C5" s="51" t="s">
        <v>35</v>
      </c>
      <c r="D5" s="52"/>
      <c r="E5" s="52"/>
      <c r="F5" s="53"/>
      <c r="G5" s="11"/>
      <c r="H5" s="17"/>
    </row>
    <row r="6" spans="1:8" ht="21.75" customHeight="1" thickBot="1" x14ac:dyDescent="0.4">
      <c r="B6" s="50" t="s">
        <v>31</v>
      </c>
      <c r="C6" s="54">
        <v>40922</v>
      </c>
      <c r="D6" s="55"/>
      <c r="E6" s="55"/>
      <c r="F6" s="56"/>
      <c r="G6" s="11"/>
      <c r="H6" s="17"/>
    </row>
    <row r="7" spans="1:8" s="3" customFormat="1" ht="24" thickBot="1" x14ac:dyDescent="0.4">
      <c r="A7" s="57" t="s">
        <v>25</v>
      </c>
      <c r="B7" s="58"/>
      <c r="C7" s="58"/>
      <c r="D7" s="58"/>
      <c r="E7" s="58"/>
      <c r="F7" s="58"/>
      <c r="G7" s="59"/>
    </row>
    <row r="8" spans="1:8" s="1" customFormat="1" ht="19.5" customHeight="1" x14ac:dyDescent="0.25">
      <c r="A8" s="41"/>
      <c r="B8" s="42" t="s">
        <v>36</v>
      </c>
      <c r="C8" s="43"/>
      <c r="D8" s="43"/>
      <c r="E8" s="42" t="s">
        <v>37</v>
      </c>
      <c r="F8" s="42"/>
      <c r="G8" s="44"/>
    </row>
    <row r="9" spans="1:8" x14ac:dyDescent="0.25">
      <c r="A9" s="18" t="s">
        <v>3</v>
      </c>
      <c r="B9" s="21">
        <v>1917512</v>
      </c>
      <c r="C9" s="22">
        <f>SUM(B9/B$9)</f>
        <v>1</v>
      </c>
      <c r="D9" s="5"/>
      <c r="E9" s="19" t="s">
        <v>3</v>
      </c>
      <c r="F9" s="23">
        <f>SUM(B9)</f>
        <v>1917512</v>
      </c>
      <c r="G9" s="24">
        <f>SUM(F10/F$10)</f>
        <v>1</v>
      </c>
    </row>
    <row r="10" spans="1:8" x14ac:dyDescent="0.25">
      <c r="A10" s="25" t="s">
        <v>4</v>
      </c>
      <c r="B10" s="21">
        <v>-10000</v>
      </c>
      <c r="C10" s="22">
        <f>SUM(B10/B9)</f>
        <v>-5.215091222375662E-3</v>
      </c>
      <c r="D10" s="5"/>
      <c r="E10" s="26" t="s">
        <v>4</v>
      </c>
      <c r="F10" s="23">
        <f>SUM(F9*G10)</f>
        <v>241606.51199999999</v>
      </c>
      <c r="G10" s="27">
        <v>0.126</v>
      </c>
    </row>
    <row r="11" spans="1:8" x14ac:dyDescent="0.25">
      <c r="A11" s="18" t="s">
        <v>5</v>
      </c>
      <c r="B11" s="23">
        <f>SUM(B9-B10)</f>
        <v>1927512</v>
      </c>
      <c r="C11" s="22">
        <f t="shared" ref="C11:C34" si="0">SUM(B11/B$9)</f>
        <v>1.0052150912223756</v>
      </c>
      <c r="D11" s="5"/>
      <c r="E11" s="19" t="s">
        <v>5</v>
      </c>
      <c r="F11" s="23">
        <f>SUM(F9-F10)</f>
        <v>1675905.4879999999</v>
      </c>
      <c r="G11" s="24">
        <f>SUM(F11/F$9)</f>
        <v>0.874</v>
      </c>
    </row>
    <row r="12" spans="1:8" ht="11.25" customHeight="1" x14ac:dyDescent="0.25">
      <c r="A12" s="28"/>
      <c r="B12" s="29"/>
      <c r="C12" s="5"/>
      <c r="D12" s="5"/>
      <c r="E12" s="5"/>
      <c r="F12" s="29"/>
      <c r="G12" s="30"/>
    </row>
    <row r="13" spans="1:8" x14ac:dyDescent="0.25">
      <c r="A13" s="18" t="s">
        <v>6</v>
      </c>
      <c r="B13" s="23"/>
      <c r="C13" s="5"/>
      <c r="D13" s="5"/>
      <c r="E13" s="19" t="s">
        <v>6</v>
      </c>
      <c r="F13" s="23"/>
      <c r="G13" s="30"/>
    </row>
    <row r="14" spans="1:8" x14ac:dyDescent="0.25">
      <c r="A14" s="25" t="s">
        <v>7</v>
      </c>
      <c r="B14" s="31">
        <v>48000</v>
      </c>
      <c r="C14" s="22">
        <f t="shared" si="0"/>
        <v>2.5032437867403178E-2</v>
      </c>
      <c r="D14" s="5"/>
      <c r="E14" s="26" t="s">
        <v>7</v>
      </c>
      <c r="F14" s="32"/>
      <c r="G14" s="24">
        <f t="shared" ref="G14:G19" si="1">SUM(F14/F$10)</f>
        <v>0</v>
      </c>
    </row>
    <row r="15" spans="1:8" x14ac:dyDescent="0.25">
      <c r="A15" s="25" t="s">
        <v>8</v>
      </c>
      <c r="B15" s="31">
        <v>2816</v>
      </c>
      <c r="C15" s="22">
        <f t="shared" si="0"/>
        <v>1.4685696882209864E-3</v>
      </c>
      <c r="D15" s="5"/>
      <c r="E15" s="26" t="s">
        <v>8</v>
      </c>
      <c r="F15" s="32"/>
      <c r="G15" s="24">
        <f t="shared" si="1"/>
        <v>0</v>
      </c>
    </row>
    <row r="16" spans="1:8" x14ac:dyDescent="0.25">
      <c r="A16" s="25" t="s">
        <v>9</v>
      </c>
      <c r="B16" s="31">
        <v>31000</v>
      </c>
      <c r="C16" s="22">
        <f t="shared" si="0"/>
        <v>1.616678278936455E-2</v>
      </c>
      <c r="D16" s="5"/>
      <c r="E16" s="26" t="s">
        <v>9</v>
      </c>
      <c r="F16" s="32"/>
      <c r="G16" s="24">
        <f t="shared" si="1"/>
        <v>0</v>
      </c>
    </row>
    <row r="17" spans="1:7" x14ac:dyDescent="0.25">
      <c r="A17" s="25" t="s">
        <v>10</v>
      </c>
      <c r="B17" s="31">
        <v>45446</v>
      </c>
      <c r="C17" s="22">
        <f t="shared" si="0"/>
        <v>2.3700503569208432E-2</v>
      </c>
      <c r="D17" s="5"/>
      <c r="E17" s="26" t="s">
        <v>10</v>
      </c>
      <c r="F17" s="32"/>
      <c r="G17" s="24">
        <f t="shared" si="1"/>
        <v>0</v>
      </c>
    </row>
    <row r="18" spans="1:7" x14ac:dyDescent="0.25">
      <c r="A18" s="25" t="s">
        <v>11</v>
      </c>
      <c r="B18" s="31">
        <v>8462</v>
      </c>
      <c r="C18" s="22">
        <f t="shared" si="0"/>
        <v>4.4130101923742851E-3</v>
      </c>
      <c r="D18" s="5"/>
      <c r="E18" s="26" t="s">
        <v>11</v>
      </c>
      <c r="F18" s="32"/>
      <c r="G18" s="24">
        <f t="shared" si="1"/>
        <v>0</v>
      </c>
    </row>
    <row r="19" spans="1:7" x14ac:dyDescent="0.25">
      <c r="A19" s="25" t="s">
        <v>12</v>
      </c>
      <c r="B19" s="31">
        <v>11760</v>
      </c>
      <c r="C19" s="22">
        <f t="shared" si="0"/>
        <v>6.1329472775137782E-3</v>
      </c>
      <c r="D19" s="5"/>
      <c r="E19" s="26" t="s">
        <v>12</v>
      </c>
      <c r="F19" s="32"/>
      <c r="G19" s="24">
        <f t="shared" si="1"/>
        <v>0</v>
      </c>
    </row>
    <row r="20" spans="1:7" x14ac:dyDescent="0.25">
      <c r="A20" s="18" t="s">
        <v>13</v>
      </c>
      <c r="B20" s="23">
        <f>SUM(B14:B19)</f>
        <v>147484</v>
      </c>
      <c r="C20" s="22">
        <f t="shared" si="0"/>
        <v>7.6914251384085211E-2</v>
      </c>
      <c r="D20" s="5"/>
      <c r="E20" s="19" t="s">
        <v>13</v>
      </c>
      <c r="F20" s="23">
        <f>SUM(B20)</f>
        <v>147484</v>
      </c>
      <c r="G20" s="24">
        <f>SUM(F20/F$9)</f>
        <v>7.6914251384085211E-2</v>
      </c>
    </row>
    <row r="21" spans="1:7" ht="11.25" customHeight="1" x14ac:dyDescent="0.25">
      <c r="A21" s="28"/>
      <c r="B21" s="29"/>
      <c r="C21" s="5"/>
      <c r="D21" s="5"/>
      <c r="E21" s="5"/>
      <c r="F21" s="29"/>
      <c r="G21" s="30"/>
    </row>
    <row r="22" spans="1:7" x14ac:dyDescent="0.25">
      <c r="A22" s="18" t="s">
        <v>14</v>
      </c>
      <c r="B22" s="23"/>
      <c r="C22" s="5"/>
      <c r="D22" s="5"/>
      <c r="E22" s="19" t="s">
        <v>14</v>
      </c>
      <c r="F22" s="23"/>
      <c r="G22" s="30"/>
    </row>
    <row r="23" spans="1:7" x14ac:dyDescent="0.25">
      <c r="A23" s="25" t="s">
        <v>15</v>
      </c>
      <c r="B23" s="31">
        <v>1520312</v>
      </c>
      <c r="C23" s="22">
        <f t="shared" si="0"/>
        <v>0.79285657664723874</v>
      </c>
      <c r="D23" s="5"/>
      <c r="E23" s="26" t="s">
        <v>15</v>
      </c>
      <c r="F23" s="33"/>
      <c r="G23" s="34"/>
    </row>
    <row r="24" spans="1:7" x14ac:dyDescent="0.25">
      <c r="A24" s="25" t="s">
        <v>16</v>
      </c>
      <c r="B24" s="31">
        <v>93576</v>
      </c>
      <c r="C24" s="22">
        <f t="shared" si="0"/>
        <v>4.8800737622502491E-2</v>
      </c>
      <c r="D24" s="5"/>
      <c r="E24" s="26" t="s">
        <v>16</v>
      </c>
      <c r="F24" s="33"/>
      <c r="G24" s="34"/>
    </row>
    <row r="25" spans="1:7" x14ac:dyDescent="0.25">
      <c r="A25" s="18" t="s">
        <v>17</v>
      </c>
      <c r="B25" s="23">
        <f>SUM(B23:B24)</f>
        <v>1613888</v>
      </c>
      <c r="C25" s="22">
        <f t="shared" si="0"/>
        <v>0.84165731426974122</v>
      </c>
      <c r="D25" s="5"/>
      <c r="E25" s="19" t="s">
        <v>17</v>
      </c>
      <c r="F25" s="23">
        <f>SUM(F9*G25)</f>
        <v>1386361.176</v>
      </c>
      <c r="G25" s="27">
        <v>0.72299999999999998</v>
      </c>
    </row>
    <row r="26" spans="1:7" ht="11.25" customHeight="1" x14ac:dyDescent="0.25">
      <c r="A26" s="28"/>
      <c r="B26" s="29"/>
      <c r="C26" s="5"/>
      <c r="D26" s="5"/>
      <c r="E26" s="5"/>
      <c r="F26" s="29"/>
      <c r="G26" s="30"/>
    </row>
    <row r="27" spans="1:7" x14ac:dyDescent="0.25">
      <c r="A27" s="18" t="s">
        <v>18</v>
      </c>
      <c r="B27" s="23">
        <f>SUM(B11-B20-B25)</f>
        <v>166140</v>
      </c>
      <c r="C27" s="22">
        <f t="shared" si="0"/>
        <v>8.6643525568549248E-2</v>
      </c>
      <c r="D27" s="5"/>
      <c r="E27" s="19" t="s">
        <v>18</v>
      </c>
      <c r="F27" s="23">
        <f>SUM(F11-F20-F25)</f>
        <v>142060.31199999992</v>
      </c>
      <c r="G27" s="24">
        <f>SUM(F27/F$9)</f>
        <v>7.4085748615914743E-2</v>
      </c>
    </row>
    <row r="28" spans="1:7" x14ac:dyDescent="0.25">
      <c r="A28" s="28"/>
      <c r="B28" s="29"/>
      <c r="C28" s="5"/>
      <c r="D28" s="5"/>
      <c r="E28" s="5"/>
      <c r="F28" s="29"/>
      <c r="G28" s="30"/>
    </row>
    <row r="29" spans="1:7" x14ac:dyDescent="0.25">
      <c r="A29" s="25" t="s">
        <v>19</v>
      </c>
      <c r="B29" s="29">
        <f>SUM(B27/2)+B25</f>
        <v>1696958</v>
      </c>
      <c r="C29" s="22">
        <f t="shared" si="0"/>
        <v>0.88497907705401579</v>
      </c>
      <c r="D29" s="5"/>
      <c r="E29" s="26" t="s">
        <v>19</v>
      </c>
      <c r="F29" s="29">
        <f>SUM(F27/2)+F25</f>
        <v>1457391.3319999999</v>
      </c>
      <c r="G29" s="24">
        <f>SUM(F29/F$9)</f>
        <v>0.76004287430795736</v>
      </c>
    </row>
    <row r="30" spans="1:7" x14ac:dyDescent="0.25">
      <c r="A30" s="25" t="s">
        <v>20</v>
      </c>
      <c r="B30" s="29">
        <f>SUM(B27/2)+B20</f>
        <v>230554</v>
      </c>
      <c r="C30" s="22">
        <f t="shared" si="0"/>
        <v>0.12023601416835983</v>
      </c>
      <c r="D30" s="5"/>
      <c r="E30" s="26" t="s">
        <v>20</v>
      </c>
      <c r="F30" s="29">
        <f>SUM(F27/2)+F20</f>
        <v>218514.15599999996</v>
      </c>
      <c r="G30" s="24">
        <f>SUM(F30/F$9)</f>
        <v>0.11395712569204258</v>
      </c>
    </row>
    <row r="31" spans="1:7" x14ac:dyDescent="0.25">
      <c r="A31" s="25" t="s">
        <v>21</v>
      </c>
      <c r="B31" s="29">
        <f>SUM(B30+B10)</f>
        <v>220554</v>
      </c>
      <c r="C31" s="22">
        <f t="shared" si="0"/>
        <v>0.11502092294598418</v>
      </c>
      <c r="D31" s="5"/>
      <c r="E31" s="26" t="s">
        <v>21</v>
      </c>
      <c r="F31" s="29">
        <f>SUM(F30+F10)</f>
        <v>460120.66799999995</v>
      </c>
      <c r="G31" s="24">
        <f>SUM(F31/F$9)</f>
        <v>0.23995712569204258</v>
      </c>
    </row>
    <row r="32" spans="1:7" ht="11.25" customHeight="1" x14ac:dyDescent="0.25">
      <c r="A32" s="28"/>
      <c r="B32" s="5"/>
      <c r="C32" s="5"/>
      <c r="D32" s="5"/>
      <c r="E32" s="5"/>
      <c r="F32" s="5"/>
      <c r="G32" s="30"/>
    </row>
    <row r="33" spans="1:7" x14ac:dyDescent="0.25">
      <c r="A33" s="18" t="s">
        <v>22</v>
      </c>
      <c r="B33" s="20">
        <f>SUM(B30/B31)</f>
        <v>1.045340370158782</v>
      </c>
      <c r="C33" s="5"/>
      <c r="D33" s="5"/>
      <c r="E33" s="19" t="s">
        <v>22</v>
      </c>
      <c r="F33" s="20">
        <f>SUM(F30/F31)</f>
        <v>0.47490619569386522</v>
      </c>
      <c r="G33" s="30"/>
    </row>
    <row r="34" spans="1:7" ht="15.75" x14ac:dyDescent="0.25">
      <c r="A34" s="18" t="s">
        <v>23</v>
      </c>
      <c r="B34" s="23">
        <f>SUM(B9*B33)</f>
        <v>2004452.7038639064</v>
      </c>
      <c r="C34" s="35">
        <f t="shared" si="0"/>
        <v>1.045340370158782</v>
      </c>
      <c r="D34" s="5"/>
      <c r="E34" s="19" t="s">
        <v>23</v>
      </c>
      <c r="F34" s="23">
        <f>SUM(F10*F33)</f>
        <v>114740.42946878419</v>
      </c>
      <c r="G34" s="36">
        <f>SUM(F34/F$10)</f>
        <v>0.47490619569386522</v>
      </c>
    </row>
    <row r="35" spans="1:7" ht="15.75" thickBot="1" x14ac:dyDescent="0.3">
      <c r="A35" s="45" t="s">
        <v>24</v>
      </c>
      <c r="B35" s="46">
        <f>SUM(365*B33)</f>
        <v>381.54923510795544</v>
      </c>
      <c r="C35" s="47"/>
      <c r="D35" s="47"/>
      <c r="E35" s="48" t="s">
        <v>24</v>
      </c>
      <c r="F35" s="46">
        <f>SUM(365*F33)</f>
        <v>173.34076142826081</v>
      </c>
      <c r="G35" s="49"/>
    </row>
  </sheetData>
  <sheetProtection password="CA25" sheet="1" objects="1" scenarios="1"/>
  <mergeCells count="4">
    <mergeCell ref="C4:F4"/>
    <mergeCell ref="C5:F5"/>
    <mergeCell ref="C6:F6"/>
    <mergeCell ref="A7:G7"/>
  </mergeCells>
  <phoneticPr fontId="2" type="noConversion"/>
  <pageMargins left="1.25" right="0" top="0" bottom="0" header="0" footer="0.3"/>
  <pageSetup orientation="landscape" r:id="rId1"/>
  <headerFooter alignWithMargins="0">
    <oddHeader>&amp;C&amp;G</oddHeader>
    <oddFooter>&amp;Cwww.belfieldllc.com
(877) 513-3663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workbookViewId="0">
      <selection activeCell="G4" sqref="G4"/>
    </sheetView>
  </sheetViews>
  <sheetFormatPr defaultColWidth="8.85546875" defaultRowHeight="15" x14ac:dyDescent="0.25"/>
  <cols>
    <col min="1" max="1" width="10.85546875" style="2" customWidth="1"/>
    <col min="2" max="2" width="12.7109375" style="2" customWidth="1"/>
    <col min="3" max="3" width="8.85546875" style="2"/>
    <col min="4" max="4" width="2.85546875" style="2" customWidth="1"/>
    <col min="5" max="5" width="8.85546875" style="2"/>
    <col min="6" max="6" width="23.85546875" style="2" customWidth="1"/>
    <col min="7" max="10" width="13" style="2" customWidth="1"/>
    <col min="11" max="11" width="14.140625" style="2" customWidth="1"/>
    <col min="12" max="12" width="15.7109375" style="2" customWidth="1"/>
    <col min="13" max="13" width="13" style="2" customWidth="1"/>
    <col min="14" max="16384" width="8.85546875" style="2"/>
  </cols>
  <sheetData>
    <row r="1" spans="1:13" ht="11.25" customHeight="1" x14ac:dyDescent="0.25"/>
    <row r="2" spans="1:13" ht="18.75" customHeight="1" x14ac:dyDescent="0.25"/>
    <row r="3" spans="1:13" ht="18.75" customHeight="1" x14ac:dyDescent="0.25">
      <c r="A3" s="11"/>
      <c r="B3" s="11"/>
      <c r="C3" s="11"/>
      <c r="D3" s="11"/>
      <c r="E3" s="11"/>
      <c r="F3" s="11"/>
      <c r="G3" s="11"/>
      <c r="I3" s="11"/>
      <c r="J3" s="11"/>
      <c r="K3" s="11"/>
      <c r="L3" s="11"/>
      <c r="M3" s="11"/>
    </row>
    <row r="4" spans="1:13" s="3" customFormat="1" ht="18.75" customHeight="1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s="3" customFormat="1" ht="18.75" customHeight="1" thickBot="1" x14ac:dyDescent="0.3">
      <c r="A5" s="2"/>
      <c r="B5" s="38" t="s">
        <v>32</v>
      </c>
      <c r="C5" s="60" t="s">
        <v>34</v>
      </c>
      <c r="D5" s="61"/>
      <c r="E5" s="61"/>
      <c r="F5" s="62"/>
      <c r="G5" s="11"/>
      <c r="H5" s="11"/>
      <c r="I5" s="38" t="s">
        <v>32</v>
      </c>
      <c r="J5" s="60" t="s">
        <v>34</v>
      </c>
      <c r="K5" s="61"/>
      <c r="L5" s="62"/>
    </row>
    <row r="6" spans="1:13" s="3" customFormat="1" ht="18.75" customHeight="1" thickBot="1" x14ac:dyDescent="0.3">
      <c r="A6" s="2"/>
      <c r="B6" s="38" t="s">
        <v>33</v>
      </c>
      <c r="C6" s="60" t="s">
        <v>35</v>
      </c>
      <c r="D6" s="61"/>
      <c r="E6" s="61"/>
      <c r="F6" s="62"/>
      <c r="G6" s="11"/>
      <c r="H6" s="7"/>
      <c r="I6" s="38" t="s">
        <v>33</v>
      </c>
      <c r="J6" s="60" t="s">
        <v>35</v>
      </c>
      <c r="K6" s="61"/>
      <c r="L6" s="62"/>
    </row>
    <row r="7" spans="1:13" s="1" customFormat="1" ht="18.75" customHeight="1" thickBot="1" x14ac:dyDescent="0.3">
      <c r="A7" s="2"/>
      <c r="B7" s="38" t="s">
        <v>31</v>
      </c>
      <c r="C7" s="63"/>
      <c r="D7" s="64"/>
      <c r="E7" s="64"/>
      <c r="F7" s="65"/>
      <c r="G7" s="11"/>
      <c r="H7" s="8"/>
      <c r="I7" s="38" t="s">
        <v>31</v>
      </c>
      <c r="J7" s="63"/>
      <c r="K7" s="64"/>
      <c r="L7" s="65"/>
    </row>
    <row r="8" spans="1:13" ht="15.75" customHeight="1" x14ac:dyDescent="0.25">
      <c r="A8" s="5"/>
      <c r="B8" s="9"/>
      <c r="C8" s="5"/>
      <c r="D8" s="5"/>
      <c r="E8" s="5"/>
      <c r="F8" s="5"/>
      <c r="G8" s="5"/>
      <c r="H8" s="5"/>
      <c r="I8" s="5"/>
      <c r="J8" s="5"/>
    </row>
    <row r="9" spans="1:13" ht="15.75" customHeight="1" x14ac:dyDescent="0.25">
      <c r="A9" s="5"/>
      <c r="B9" s="5">
        <f>SUM('BE Worksheet'!C20)</f>
        <v>7.6914251384085211E-2</v>
      </c>
      <c r="C9" s="5" t="e">
        <f>SUM(#REF!)</f>
        <v>#REF!</v>
      </c>
      <c r="D9" s="5"/>
      <c r="E9" s="5"/>
      <c r="F9" s="5"/>
      <c r="G9" s="5"/>
      <c r="H9" s="5"/>
      <c r="I9" s="5"/>
      <c r="J9" s="5"/>
      <c r="K9" s="5"/>
    </row>
    <row r="10" spans="1:13" ht="15.75" customHeight="1" x14ac:dyDescent="0.25">
      <c r="A10" s="5"/>
      <c r="B10" s="5">
        <f>SUM('BE Worksheet'!C25)</f>
        <v>0.84165731426974122</v>
      </c>
      <c r="C10" s="5" t="e">
        <f>SUM(#REF!)</f>
        <v>#REF!</v>
      </c>
      <c r="D10" s="5"/>
      <c r="E10" s="5"/>
      <c r="F10" s="5"/>
      <c r="G10" s="5"/>
      <c r="H10" s="5"/>
      <c r="I10" s="5"/>
      <c r="J10" s="5"/>
    </row>
    <row r="11" spans="1:13" ht="12.95" customHeight="1" x14ac:dyDescent="0.25">
      <c r="A11" s="5"/>
      <c r="B11" s="5">
        <f>SUM('BE Worksheet'!C27)</f>
        <v>8.6643525568549248E-2</v>
      </c>
      <c r="C11" s="5" t="e">
        <f>SUM(#REF!)</f>
        <v>#REF!</v>
      </c>
      <c r="D11" s="5"/>
      <c r="E11" s="5"/>
      <c r="F11" s="5"/>
      <c r="G11" s="5"/>
      <c r="H11" s="5"/>
      <c r="I11" s="5"/>
      <c r="J11" s="5"/>
    </row>
    <row r="12" spans="1:13" ht="14.1" customHeight="1" x14ac:dyDescent="0.25">
      <c r="A12" s="5"/>
      <c r="B12" s="5">
        <f>SUM('BE Worksheet'!C10)</f>
        <v>-5.215091222375662E-3</v>
      </c>
      <c r="C12" s="5" t="e">
        <f>SUM(#REF!)</f>
        <v>#REF!</v>
      </c>
      <c r="D12" s="5"/>
      <c r="E12" s="5"/>
      <c r="F12" s="5"/>
      <c r="G12" s="5"/>
      <c r="H12" s="5"/>
      <c r="I12" s="5"/>
      <c r="J12" s="5"/>
    </row>
    <row r="13" spans="1:1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3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3" s="4" customFormat="1" x14ac:dyDescent="0.25">
      <c r="A17" s="10"/>
      <c r="B17" s="5"/>
      <c r="C17" s="5"/>
      <c r="D17" s="5"/>
      <c r="E17" s="5"/>
      <c r="F17" s="5"/>
      <c r="G17" s="5"/>
      <c r="H17" s="5"/>
      <c r="I17" s="10"/>
      <c r="J17" s="10"/>
    </row>
    <row r="18" spans="1:13" s="4" customFormat="1" x14ac:dyDescent="0.25">
      <c r="A18" s="10"/>
      <c r="B18" s="5"/>
      <c r="C18" s="5"/>
      <c r="D18" s="5"/>
      <c r="E18" s="5"/>
      <c r="F18" s="5"/>
      <c r="G18" s="5"/>
      <c r="H18" s="5"/>
      <c r="I18" s="10"/>
      <c r="J18" s="10"/>
    </row>
    <row r="19" spans="1:13" s="4" customFormat="1" x14ac:dyDescent="0.25">
      <c r="A19" s="10"/>
      <c r="B19" s="5"/>
      <c r="C19" s="5"/>
      <c r="D19" s="5"/>
      <c r="E19" s="5"/>
      <c r="F19" s="5"/>
      <c r="G19" s="5"/>
      <c r="H19" s="5"/>
      <c r="I19" s="10"/>
      <c r="J19" s="10"/>
    </row>
    <row r="20" spans="1:13" s="4" customFormat="1" ht="57" customHeight="1" x14ac:dyDescent="0.25">
      <c r="A20" s="10"/>
      <c r="B20" s="5"/>
      <c r="C20" s="5"/>
      <c r="D20" s="5"/>
      <c r="E20" s="5"/>
      <c r="F20" s="5"/>
      <c r="G20" s="5"/>
      <c r="H20" s="5"/>
      <c r="I20" s="10"/>
      <c r="J20" s="10"/>
    </row>
    <row r="21" spans="1:13" s="4" customFormat="1" x14ac:dyDescent="0.25">
      <c r="A21" s="10"/>
      <c r="B21" s="5"/>
      <c r="C21" s="5"/>
      <c r="D21" s="5"/>
      <c r="E21" s="5"/>
      <c r="F21" s="5"/>
      <c r="G21" s="5"/>
      <c r="H21" s="5"/>
      <c r="I21" s="10"/>
      <c r="J21" s="10"/>
    </row>
    <row r="22" spans="1:13" s="4" customFormat="1" x14ac:dyDescent="0.25">
      <c r="A22" s="10"/>
      <c r="B22" s="5"/>
      <c r="C22" s="5"/>
      <c r="D22" s="5"/>
      <c r="E22" s="5"/>
      <c r="F22" s="5"/>
      <c r="G22" s="5"/>
      <c r="H22" s="5"/>
      <c r="I22" s="10"/>
      <c r="J22" s="10"/>
    </row>
    <row r="23" spans="1:13" s="4" customFormat="1" x14ac:dyDescent="0.25">
      <c r="A23" s="10"/>
      <c r="B23" s="5"/>
      <c r="C23" s="5"/>
      <c r="D23" s="5"/>
      <c r="E23" s="5"/>
      <c r="F23" s="5"/>
      <c r="G23" s="5"/>
      <c r="H23" s="5"/>
      <c r="I23" s="10"/>
      <c r="J23" s="10"/>
    </row>
    <row r="24" spans="1:13" s="4" customFormat="1" x14ac:dyDescent="0.25">
      <c r="A24" s="10"/>
      <c r="B24" s="5"/>
      <c r="C24" s="5"/>
      <c r="D24" s="5"/>
      <c r="E24" s="5"/>
      <c r="F24" s="5"/>
      <c r="G24" s="5"/>
      <c r="H24" s="5"/>
      <c r="I24" s="10"/>
      <c r="J24" s="10"/>
    </row>
    <row r="25" spans="1:13" s="4" customFormat="1" x14ac:dyDescent="0.25">
      <c r="A25" s="10"/>
      <c r="B25" s="5"/>
      <c r="C25" s="5"/>
      <c r="D25" s="5"/>
      <c r="E25" s="5"/>
      <c r="F25" s="5"/>
      <c r="G25" s="5"/>
      <c r="H25" s="5"/>
      <c r="I25" s="10"/>
      <c r="J25" s="10"/>
    </row>
    <row r="26" spans="1:13" s="4" customFormat="1" x14ac:dyDescent="0.25">
      <c r="A26" s="10"/>
      <c r="B26" s="5"/>
      <c r="C26" s="5"/>
      <c r="D26" s="5"/>
      <c r="E26" s="5"/>
      <c r="F26" s="5"/>
      <c r="G26" s="5"/>
      <c r="H26" s="5"/>
      <c r="I26" s="10"/>
      <c r="J26" s="10"/>
    </row>
    <row r="27" spans="1:13" s="4" customFormat="1" x14ac:dyDescent="0.25">
      <c r="A27" s="10"/>
      <c r="B27" s="5"/>
      <c r="C27" s="5"/>
      <c r="D27" s="5"/>
      <c r="E27" s="5"/>
      <c r="F27" s="5"/>
      <c r="G27" s="5"/>
      <c r="H27" s="5"/>
      <c r="I27" s="10"/>
      <c r="J27" s="10"/>
    </row>
    <row r="28" spans="1:13" s="4" customFormat="1" x14ac:dyDescent="0.25">
      <c r="A28" s="10"/>
      <c r="B28" s="5"/>
      <c r="C28" s="5"/>
      <c r="D28" s="5"/>
      <c r="E28" s="5"/>
      <c r="F28" s="5"/>
      <c r="G28" s="5"/>
      <c r="H28" s="5"/>
      <c r="I28" s="10"/>
      <c r="J28" s="10"/>
    </row>
    <row r="29" spans="1:13" s="4" customFormat="1" ht="50.25" customHeight="1" x14ac:dyDescent="0.25">
      <c r="A29" s="10"/>
      <c r="F29" s="5"/>
      <c r="G29" s="5"/>
      <c r="H29" s="5"/>
      <c r="I29" s="10"/>
      <c r="J29" s="10"/>
    </row>
    <row r="30" spans="1:13" s="4" customFormat="1" x14ac:dyDescent="0.25">
      <c r="B30" s="13" t="s">
        <v>2</v>
      </c>
      <c r="C30" s="12" t="s">
        <v>26</v>
      </c>
      <c r="D30" s="5"/>
      <c r="E30" s="5"/>
      <c r="F30" s="5"/>
      <c r="G30" s="5"/>
      <c r="H30" s="5"/>
      <c r="I30" s="13" t="s">
        <v>2</v>
      </c>
      <c r="J30" s="12" t="s">
        <v>26</v>
      </c>
      <c r="K30" s="12"/>
      <c r="L30" s="5"/>
      <c r="M30" s="5"/>
    </row>
    <row r="31" spans="1:13" x14ac:dyDescent="0.25">
      <c r="B31" s="14" t="s">
        <v>30</v>
      </c>
      <c r="C31" s="12" t="s">
        <v>27</v>
      </c>
      <c r="D31" s="5"/>
      <c r="E31" s="5"/>
      <c r="F31" s="5"/>
      <c r="G31" s="5"/>
      <c r="H31" s="5"/>
      <c r="I31" s="14" t="s">
        <v>30</v>
      </c>
      <c r="J31" s="12" t="s">
        <v>27</v>
      </c>
      <c r="K31" s="12"/>
      <c r="L31" s="5"/>
      <c r="M31" s="5"/>
    </row>
    <row r="32" spans="1:13" s="4" customFormat="1" x14ac:dyDescent="0.25">
      <c r="B32" s="15" t="s">
        <v>0</v>
      </c>
      <c r="C32" s="12" t="s">
        <v>28</v>
      </c>
      <c r="D32" s="5"/>
      <c r="E32" s="5"/>
      <c r="F32" s="5"/>
      <c r="G32" s="5"/>
      <c r="H32" s="5"/>
      <c r="I32" s="15" t="s">
        <v>0</v>
      </c>
      <c r="J32" s="12" t="s">
        <v>28</v>
      </c>
      <c r="K32" s="12"/>
      <c r="L32" s="5"/>
      <c r="M32" s="5"/>
    </row>
    <row r="33" spans="1:13" s="4" customFormat="1" x14ac:dyDescent="0.25">
      <c r="B33" s="16" t="s">
        <v>1</v>
      </c>
      <c r="C33" s="12" t="s">
        <v>29</v>
      </c>
      <c r="D33" s="5"/>
      <c r="E33" s="5"/>
      <c r="F33" s="5"/>
      <c r="G33" s="5"/>
      <c r="H33" s="5"/>
      <c r="I33" s="16" t="s">
        <v>1</v>
      </c>
      <c r="J33" s="12" t="s">
        <v>29</v>
      </c>
      <c r="K33" s="12"/>
      <c r="L33" s="5"/>
      <c r="M33" s="5"/>
    </row>
    <row r="34" spans="1:13" s="4" customFormat="1" x14ac:dyDescent="0.25">
      <c r="A34" s="10"/>
      <c r="B34" s="5"/>
      <c r="C34" s="5"/>
      <c r="D34" s="5"/>
      <c r="E34" s="5"/>
      <c r="F34" s="5"/>
      <c r="G34" s="5"/>
      <c r="H34" s="5"/>
      <c r="I34" s="10"/>
      <c r="J34" s="10"/>
    </row>
    <row r="35" spans="1:13" s="4" customFormat="1" x14ac:dyDescent="0.25">
      <c r="A35" s="10"/>
      <c r="B35" s="5"/>
      <c r="C35" s="5"/>
      <c r="D35" s="5"/>
      <c r="E35" s="5"/>
      <c r="F35" s="5"/>
      <c r="G35" s="5"/>
      <c r="H35" s="5"/>
      <c r="I35" s="10"/>
      <c r="J35" s="10"/>
    </row>
    <row r="36" spans="1:1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</row>
  </sheetData>
  <mergeCells count="6">
    <mergeCell ref="J5:L5"/>
    <mergeCell ref="J6:L6"/>
    <mergeCell ref="J7:L7"/>
    <mergeCell ref="C5:F5"/>
    <mergeCell ref="C6:F6"/>
    <mergeCell ref="C7:F7"/>
  </mergeCells>
  <phoneticPr fontId="2" type="noConversion"/>
  <printOptions verticalCentered="1"/>
  <pageMargins left="1.25" right="0" top="0.25" bottom="0.75" header="0.3" footer="0.3"/>
  <pageSetup orientation="portrait" r:id="rId1"/>
  <headerFooter alignWithMargins="0">
    <oddHeader>&amp;C&amp;G</oddHeader>
    <oddFooter>&amp;Cwww.belfieldllc.com
(877) 513-3663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zoomScale="90" zoomScaleNormal="90" workbookViewId="0">
      <selection activeCell="P14" sqref="P14"/>
    </sheetView>
  </sheetViews>
  <sheetFormatPr defaultColWidth="8.85546875" defaultRowHeight="15" x14ac:dyDescent="0.25"/>
  <cols>
    <col min="1" max="1" width="9.5703125" style="2" customWidth="1"/>
    <col min="2" max="2" width="12.140625" style="2" customWidth="1"/>
    <col min="3" max="4" width="11.7109375" style="2" customWidth="1"/>
    <col min="5" max="5" width="14.42578125" style="2" customWidth="1"/>
    <col min="6" max="6" width="9.85546875" style="2" customWidth="1"/>
    <col min="7" max="7" width="11.7109375" style="2" customWidth="1"/>
    <col min="8" max="8" width="11.28515625" style="2" customWidth="1"/>
    <col min="9" max="9" width="11.42578125" style="2" customWidth="1"/>
    <col min="10" max="12" width="11.7109375" style="2" customWidth="1"/>
    <col min="13" max="13" width="11.5703125" style="2" customWidth="1"/>
    <col min="14" max="14" width="11.7109375" style="2" customWidth="1"/>
    <col min="15" max="16384" width="8.85546875" style="2"/>
  </cols>
  <sheetData>
    <row r="1" spans="1:13" ht="13.5" customHeight="1" x14ac:dyDescent="0.25"/>
    <row r="2" spans="1:13" ht="20.25" customHeight="1" x14ac:dyDescent="0.25"/>
    <row r="3" spans="1:13" ht="20.25" customHeight="1" x14ac:dyDescent="0.25">
      <c r="B3" s="11"/>
      <c r="C3" s="11"/>
      <c r="D3" s="11"/>
      <c r="E3" s="11"/>
      <c r="F3" s="11"/>
      <c r="I3" s="11"/>
      <c r="J3" s="11"/>
      <c r="K3" s="11"/>
      <c r="L3" s="11"/>
      <c r="M3" s="11"/>
    </row>
    <row r="4" spans="1:13" ht="20.25" customHeight="1" thickBot="1" x14ac:dyDescent="0.3">
      <c r="B4" s="11"/>
      <c r="C4" s="11"/>
      <c r="D4" s="11"/>
      <c r="E4" s="11"/>
      <c r="F4" s="11"/>
      <c r="I4" s="11"/>
      <c r="J4" s="11"/>
      <c r="K4" s="11"/>
      <c r="L4" s="11"/>
      <c r="M4" s="11"/>
    </row>
    <row r="5" spans="1:13" s="3" customFormat="1" ht="20.25" customHeight="1" thickBot="1" x14ac:dyDescent="0.4">
      <c r="A5" s="11"/>
      <c r="B5" s="37" t="s">
        <v>32</v>
      </c>
      <c r="C5" s="60" t="s">
        <v>34</v>
      </c>
      <c r="D5" s="61"/>
      <c r="E5" s="61"/>
      <c r="F5" s="62"/>
      <c r="G5" s="39"/>
      <c r="H5" s="39"/>
      <c r="I5" s="37" t="s">
        <v>32</v>
      </c>
      <c r="J5" s="60" t="s">
        <v>34</v>
      </c>
      <c r="K5" s="61"/>
      <c r="L5" s="61"/>
      <c r="M5" s="62"/>
    </row>
    <row r="6" spans="1:13" s="3" customFormat="1" ht="20.25" customHeight="1" thickBot="1" x14ac:dyDescent="0.4">
      <c r="A6" s="11"/>
      <c r="B6" s="37" t="s">
        <v>33</v>
      </c>
      <c r="C6" s="60" t="s">
        <v>35</v>
      </c>
      <c r="D6" s="61"/>
      <c r="E6" s="61"/>
      <c r="F6" s="62"/>
      <c r="G6" s="39"/>
      <c r="H6" s="39"/>
      <c r="I6" s="37" t="s">
        <v>33</v>
      </c>
      <c r="J6" s="60" t="s">
        <v>35</v>
      </c>
      <c r="K6" s="61"/>
      <c r="L6" s="61"/>
      <c r="M6" s="62"/>
    </row>
    <row r="7" spans="1:13" s="3" customFormat="1" ht="20.25" customHeight="1" thickBot="1" x14ac:dyDescent="0.4">
      <c r="A7" s="6"/>
      <c r="B7" s="37" t="s">
        <v>31</v>
      </c>
      <c r="C7" s="63">
        <v>40922</v>
      </c>
      <c r="D7" s="64"/>
      <c r="E7" s="64"/>
      <c r="F7" s="65"/>
      <c r="G7" s="40"/>
      <c r="H7" s="40"/>
      <c r="I7" s="37" t="s">
        <v>31</v>
      </c>
      <c r="J7" s="63">
        <v>40922</v>
      </c>
      <c r="K7" s="64"/>
      <c r="L7" s="64"/>
      <c r="M7" s="65"/>
    </row>
    <row r="8" spans="1:13" x14ac:dyDescent="0.25">
      <c r="A8" s="5"/>
      <c r="B8" s="9"/>
      <c r="C8" s="5"/>
      <c r="D8" s="5"/>
      <c r="E8" s="5"/>
      <c r="F8" s="5"/>
      <c r="G8" s="5"/>
      <c r="H8" s="5"/>
      <c r="I8" s="5"/>
    </row>
    <row r="9" spans="1:13" x14ac:dyDescent="0.25">
      <c r="A9" s="5"/>
      <c r="B9" s="5">
        <f>SUM('BE Worksheet'!G10)</f>
        <v>0.126</v>
      </c>
      <c r="C9" s="5" t="e">
        <f>SUM(#REF!)</f>
        <v>#REF!</v>
      </c>
      <c r="D9" s="5"/>
      <c r="E9" s="5"/>
      <c r="F9" s="5"/>
      <c r="G9" s="5"/>
      <c r="H9" s="5"/>
      <c r="I9" s="5"/>
      <c r="J9" s="5"/>
    </row>
    <row r="10" spans="1:13" x14ac:dyDescent="0.25">
      <c r="A10" s="5"/>
      <c r="B10" s="5">
        <f>SUM('BE Worksheet'!G20)</f>
        <v>7.6914251384085211E-2</v>
      </c>
      <c r="C10" s="5" t="e">
        <f>SUM(#REF!)</f>
        <v>#REF!</v>
      </c>
      <c r="D10" s="5"/>
      <c r="E10" s="5"/>
      <c r="F10" s="5"/>
      <c r="G10" s="5"/>
      <c r="H10" s="5"/>
      <c r="I10" s="5"/>
    </row>
    <row r="11" spans="1:13" x14ac:dyDescent="0.25">
      <c r="A11" s="5"/>
      <c r="B11" s="5">
        <f>SUM('BE Worksheet'!G25)</f>
        <v>0.72299999999999998</v>
      </c>
      <c r="C11" s="5" t="e">
        <f>SUM(#REF!)</f>
        <v>#REF!</v>
      </c>
      <c r="D11" s="5"/>
      <c r="E11" s="5"/>
      <c r="F11" s="5"/>
      <c r="G11" s="5"/>
      <c r="H11" s="5"/>
      <c r="I11" s="5"/>
    </row>
    <row r="12" spans="1:13" x14ac:dyDescent="0.25">
      <c r="A12" s="5"/>
      <c r="B12" s="5">
        <f>SUM('BE Worksheet'!G27)</f>
        <v>7.4085748615914743E-2</v>
      </c>
      <c r="C12" s="5" t="e">
        <f>SUM(#REF!)</f>
        <v>#REF!</v>
      </c>
      <c r="D12" s="5"/>
      <c r="E12" s="5"/>
      <c r="F12" s="5"/>
      <c r="G12" s="5"/>
      <c r="H12" s="5"/>
      <c r="I12" s="5"/>
    </row>
    <row r="13" spans="1:13" x14ac:dyDescent="0.25">
      <c r="A13" s="5"/>
      <c r="B13" s="5"/>
      <c r="C13" s="5"/>
      <c r="D13" s="5"/>
      <c r="E13" s="5"/>
      <c r="F13" s="5"/>
      <c r="G13" s="5"/>
      <c r="H13" s="5"/>
      <c r="I13" s="5"/>
    </row>
    <row r="14" spans="1:13" x14ac:dyDescent="0.25">
      <c r="A14" s="5"/>
      <c r="B14" s="5"/>
      <c r="C14" s="5"/>
      <c r="D14" s="5"/>
      <c r="E14" s="5"/>
      <c r="F14" s="5"/>
      <c r="G14" s="5"/>
      <c r="H14" s="5"/>
      <c r="I14" s="5"/>
    </row>
    <row r="15" spans="1:13" x14ac:dyDescent="0.25">
      <c r="A15" s="5"/>
      <c r="B15" s="5"/>
      <c r="C15" s="5"/>
      <c r="D15" s="5"/>
      <c r="E15" s="5"/>
      <c r="F15" s="5"/>
      <c r="G15" s="5"/>
      <c r="H15" s="5"/>
      <c r="I15" s="5"/>
    </row>
    <row r="16" spans="1:13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1:12" s="4" customFormat="1" x14ac:dyDescent="0.25">
      <c r="A17" s="10"/>
      <c r="B17" s="5"/>
      <c r="C17" s="5"/>
      <c r="D17" s="5"/>
      <c r="E17" s="5"/>
      <c r="F17" s="5"/>
      <c r="G17" s="5"/>
      <c r="H17" s="5"/>
      <c r="I17" s="10"/>
    </row>
    <row r="18" spans="1:12" s="4" customFormat="1" x14ac:dyDescent="0.25">
      <c r="A18" s="10"/>
      <c r="B18" s="5"/>
      <c r="C18" s="5"/>
      <c r="D18" s="5"/>
      <c r="E18" s="5"/>
      <c r="F18" s="5"/>
      <c r="G18" s="5"/>
      <c r="H18" s="5"/>
      <c r="I18" s="10"/>
    </row>
    <row r="19" spans="1:12" s="4" customFormat="1" x14ac:dyDescent="0.25">
      <c r="A19" s="10"/>
      <c r="B19" s="5"/>
      <c r="C19" s="5"/>
      <c r="D19" s="5"/>
      <c r="E19" s="5"/>
      <c r="F19" s="5"/>
      <c r="G19" s="5"/>
      <c r="H19" s="5"/>
      <c r="I19" s="10"/>
    </row>
    <row r="20" spans="1:12" s="4" customFormat="1" ht="57" customHeight="1" x14ac:dyDescent="0.25">
      <c r="A20" s="10"/>
      <c r="B20" s="5"/>
      <c r="C20" s="5"/>
      <c r="D20" s="5"/>
      <c r="E20" s="5"/>
      <c r="F20" s="5"/>
      <c r="G20" s="5"/>
      <c r="H20" s="5"/>
      <c r="I20" s="10"/>
    </row>
    <row r="21" spans="1:12" s="4" customFormat="1" x14ac:dyDescent="0.25">
      <c r="A21" s="10"/>
      <c r="B21" s="5"/>
      <c r="C21" s="5"/>
      <c r="D21" s="5"/>
      <c r="E21" s="5"/>
      <c r="F21" s="5"/>
      <c r="G21" s="5"/>
      <c r="H21" s="5"/>
      <c r="I21" s="10"/>
    </row>
    <row r="22" spans="1:12" s="4" customFormat="1" x14ac:dyDescent="0.25">
      <c r="A22" s="10"/>
      <c r="B22" s="5"/>
      <c r="C22" s="5"/>
      <c r="D22" s="5"/>
      <c r="E22" s="5"/>
      <c r="F22" s="5"/>
      <c r="G22" s="5"/>
      <c r="H22" s="5"/>
      <c r="I22" s="10"/>
    </row>
    <row r="23" spans="1:12" s="4" customFormat="1" x14ac:dyDescent="0.25">
      <c r="A23" s="10"/>
      <c r="B23" s="5"/>
      <c r="C23" s="5"/>
      <c r="D23" s="5"/>
      <c r="E23" s="5"/>
      <c r="F23" s="5"/>
      <c r="G23" s="5"/>
      <c r="H23" s="5"/>
      <c r="I23" s="10"/>
    </row>
    <row r="24" spans="1:12" s="4" customFormat="1" x14ac:dyDescent="0.25">
      <c r="A24" s="10"/>
      <c r="B24" s="5"/>
      <c r="C24" s="5"/>
      <c r="D24" s="5"/>
      <c r="E24" s="5"/>
      <c r="F24" s="5"/>
      <c r="G24" s="5"/>
      <c r="H24" s="5"/>
      <c r="I24" s="10"/>
    </row>
    <row r="25" spans="1:12" s="4" customFormat="1" x14ac:dyDescent="0.25">
      <c r="A25" s="10"/>
      <c r="B25" s="5"/>
      <c r="C25" s="5"/>
      <c r="D25" s="5"/>
      <c r="E25" s="5"/>
      <c r="F25" s="5"/>
      <c r="G25" s="5"/>
      <c r="H25" s="5"/>
      <c r="I25" s="10"/>
    </row>
    <row r="26" spans="1:12" s="4" customFormat="1" x14ac:dyDescent="0.25">
      <c r="A26" s="10"/>
      <c r="B26" s="5"/>
      <c r="C26" s="5"/>
      <c r="D26" s="5"/>
      <c r="E26" s="5"/>
      <c r="F26" s="5"/>
      <c r="G26" s="5"/>
      <c r="H26" s="5"/>
      <c r="I26" s="10"/>
    </row>
    <row r="27" spans="1:12" s="4" customFormat="1" x14ac:dyDescent="0.25">
      <c r="A27" s="10"/>
      <c r="B27" s="5"/>
      <c r="C27" s="5"/>
      <c r="D27" s="5"/>
      <c r="E27" s="5"/>
      <c r="F27" s="5"/>
      <c r="G27" s="5"/>
      <c r="H27" s="5"/>
      <c r="I27" s="10"/>
    </row>
    <row r="28" spans="1:12" s="4" customFormat="1" x14ac:dyDescent="0.25">
      <c r="A28" s="10"/>
      <c r="B28" s="5"/>
      <c r="C28" s="5"/>
      <c r="D28" s="5"/>
      <c r="E28" s="5"/>
      <c r="F28" s="5"/>
      <c r="G28" s="5"/>
      <c r="H28" s="5"/>
      <c r="I28" s="10"/>
    </row>
    <row r="29" spans="1:12" s="4" customFormat="1" ht="60.75" customHeight="1" x14ac:dyDescent="0.25">
      <c r="A29" s="10"/>
      <c r="B29" s="5"/>
      <c r="C29" s="5"/>
      <c r="D29" s="5"/>
      <c r="E29" s="5"/>
      <c r="F29" s="5"/>
      <c r="G29" s="5"/>
      <c r="H29" s="5"/>
      <c r="I29" s="10"/>
    </row>
    <row r="30" spans="1:12" s="4" customFormat="1" x14ac:dyDescent="0.25">
      <c r="B30" s="13" t="s">
        <v>2</v>
      </c>
      <c r="C30" s="12" t="s">
        <v>26</v>
      </c>
      <c r="D30" s="5"/>
      <c r="E30" s="5"/>
      <c r="F30" s="5"/>
      <c r="G30" s="5"/>
      <c r="H30" s="5"/>
      <c r="I30" s="13" t="s">
        <v>2</v>
      </c>
      <c r="J30" s="12" t="s">
        <v>26</v>
      </c>
      <c r="K30" s="12"/>
      <c r="L30" s="5"/>
    </row>
    <row r="31" spans="1:12" x14ac:dyDescent="0.25">
      <c r="B31" s="14" t="s">
        <v>30</v>
      </c>
      <c r="C31" s="12" t="s">
        <v>27</v>
      </c>
      <c r="D31" s="5"/>
      <c r="E31" s="5"/>
      <c r="F31" s="5"/>
      <c r="G31" s="5"/>
      <c r="H31" s="5"/>
      <c r="I31" s="14" t="s">
        <v>30</v>
      </c>
      <c r="J31" s="12" t="s">
        <v>27</v>
      </c>
      <c r="K31" s="12"/>
      <c r="L31" s="5"/>
    </row>
    <row r="32" spans="1:12" s="4" customFormat="1" x14ac:dyDescent="0.25">
      <c r="B32" s="15" t="s">
        <v>0</v>
      </c>
      <c r="C32" s="12" t="s">
        <v>28</v>
      </c>
      <c r="D32" s="5"/>
      <c r="E32" s="5"/>
      <c r="F32" s="5"/>
      <c r="G32" s="5"/>
      <c r="H32" s="5"/>
      <c r="I32" s="15" t="s">
        <v>0</v>
      </c>
      <c r="J32" s="12" t="s">
        <v>28</v>
      </c>
      <c r="K32" s="12"/>
      <c r="L32" s="5"/>
    </row>
    <row r="33" spans="1:12" s="4" customFormat="1" x14ac:dyDescent="0.25">
      <c r="B33" s="16" t="s">
        <v>1</v>
      </c>
      <c r="C33" s="12" t="s">
        <v>29</v>
      </c>
      <c r="D33" s="5"/>
      <c r="E33" s="5"/>
      <c r="F33" s="5"/>
      <c r="G33" s="5"/>
      <c r="H33" s="5"/>
      <c r="I33" s="16" t="s">
        <v>1</v>
      </c>
      <c r="J33" s="12" t="s">
        <v>29</v>
      </c>
      <c r="K33" s="12"/>
      <c r="L33" s="5"/>
    </row>
    <row r="34" spans="1:12" s="4" customFormat="1" x14ac:dyDescent="0.25">
      <c r="A34" s="10"/>
      <c r="B34" s="5"/>
      <c r="C34" s="5"/>
      <c r="D34" s="5"/>
      <c r="E34" s="5"/>
      <c r="F34" s="5"/>
      <c r="G34" s="5"/>
      <c r="H34" s="5"/>
      <c r="I34" s="10"/>
    </row>
    <row r="35" spans="1:12" s="4" customFormat="1" x14ac:dyDescent="0.25">
      <c r="A35" s="10"/>
      <c r="B35" s="5"/>
      <c r="C35" s="5"/>
      <c r="D35" s="5"/>
      <c r="E35" s="5"/>
      <c r="F35" s="5"/>
      <c r="G35" s="5"/>
      <c r="H35" s="5"/>
      <c r="I35" s="10"/>
    </row>
    <row r="36" spans="1:12" x14ac:dyDescent="0.25">
      <c r="A36" s="5"/>
      <c r="B36" s="5"/>
      <c r="C36" s="5"/>
      <c r="D36" s="5"/>
      <c r="E36" s="5"/>
      <c r="F36" s="5"/>
      <c r="G36" s="5"/>
      <c r="H36" s="5"/>
      <c r="I36" s="5"/>
    </row>
    <row r="37" spans="1:12" x14ac:dyDescent="0.25">
      <c r="A37" s="5"/>
      <c r="B37" s="5"/>
      <c r="C37" s="5"/>
      <c r="D37" s="5"/>
      <c r="E37" s="5"/>
      <c r="F37" s="5"/>
      <c r="G37" s="5"/>
      <c r="H37" s="5"/>
      <c r="I37" s="5"/>
    </row>
  </sheetData>
  <mergeCells count="6">
    <mergeCell ref="J5:M5"/>
    <mergeCell ref="J6:M6"/>
    <mergeCell ref="J7:M7"/>
    <mergeCell ref="C5:F5"/>
    <mergeCell ref="C6:F6"/>
    <mergeCell ref="C7:F7"/>
  </mergeCells>
  <phoneticPr fontId="2" type="noConversion"/>
  <printOptions verticalCentered="1"/>
  <pageMargins left="1.25" right="0" top="0.25" bottom="0.75" header="0.3" footer="0.3"/>
  <pageSetup orientation="portrait" r:id="rId1"/>
  <headerFooter alignWithMargins="0">
    <oddHeader>&amp;C&amp;G</oddHeader>
    <oddFooter>&amp;Cwww.belfieldllc.com
(877) 513-3663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BE Worksheet</vt:lpstr>
      <vt:lpstr>CURRENT</vt:lpstr>
      <vt:lpstr>PROJECTED</vt:lpstr>
      <vt:lpstr>'BE Worksheet'!Print_Area</vt:lpstr>
      <vt:lpstr>CURRENT!Print_Area</vt:lpstr>
      <vt:lpstr>PROJECTED!Print_Area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Cornerstone</dc:creator>
  <cp:lastModifiedBy>Rob Belfield</cp:lastModifiedBy>
  <cp:lastPrinted>2020-07-21T20:03:50Z</cp:lastPrinted>
  <dcterms:created xsi:type="dcterms:W3CDTF">2010-12-08T17:52:53Z</dcterms:created>
  <dcterms:modified xsi:type="dcterms:W3CDTF">2020-07-21T20:04:26Z</dcterms:modified>
</cp:coreProperties>
</file>