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cab0252ba3483248/Desktop/BMS Files/BMS Consulting  Tool box/"/>
    </mc:Choice>
  </mc:AlternateContent>
  <xr:revisionPtr revIDLastSave="12" documentId="11_EE9D098A39DBD4877B15CC8C8974046E299D6E87" xr6:coauthVersionLast="47" xr6:coauthVersionMax="47" xr10:uidLastSave="{D1350CE9-336B-4428-A6C0-9A5E1AA19927}"/>
  <bookViews>
    <workbookView xWindow="-120" yWindow="-120" windowWidth="29040" windowHeight="15720" firstSheet="1" activeTab="1" xr2:uid="{00000000-000D-0000-FFFF-FFFF00000000}"/>
  </bookViews>
  <sheets>
    <sheet name="Title " sheetId="5" r:id="rId1"/>
    <sheet name="1. Cash Flow Summary" sheetId="1" r:id="rId2"/>
    <sheet name="2. Accounts Receivable" sheetId="2" r:id="rId3"/>
    <sheet name="3. Accounts Payabl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4" i="4" l="1"/>
  <c r="F4" i="4" s="1"/>
  <c r="G4" i="4" s="1"/>
  <c r="H4" i="4" s="1"/>
  <c r="C4" i="4"/>
  <c r="C4" i="2"/>
  <c r="B6" i="1"/>
  <c r="B13" i="2"/>
  <c r="B13" i="4"/>
  <c r="H13" i="4"/>
  <c r="G15" i="1" s="1"/>
  <c r="G16" i="1" s="1"/>
  <c r="G13" i="4"/>
  <c r="F15" i="1" s="1"/>
  <c r="F16" i="1" s="1"/>
  <c r="F13" i="4"/>
  <c r="E15" i="1" s="1"/>
  <c r="E16" i="1" s="1"/>
  <c r="E13" i="4"/>
  <c r="D15" i="1" s="1"/>
  <c r="D16" i="1" s="1"/>
  <c r="D13" i="4"/>
  <c r="C15" i="1" s="1"/>
  <c r="C16" i="1" s="1"/>
  <c r="C13" i="4"/>
  <c r="B15" i="1" s="1"/>
  <c r="B16" i="1" s="1"/>
  <c r="H13" i="2"/>
  <c r="G7" i="1" s="1"/>
  <c r="G10" i="1" s="1"/>
  <c r="G13" i="2"/>
  <c r="F7" i="1" s="1"/>
  <c r="F10" i="1" s="1"/>
  <c r="F13" i="2"/>
  <c r="E7" i="1" s="1"/>
  <c r="E10" i="1" s="1"/>
  <c r="E13" i="2"/>
  <c r="D7" i="1" s="1"/>
  <c r="D10" i="1" s="1"/>
  <c r="D13" i="2"/>
  <c r="C7" i="1" s="1"/>
  <c r="C10" i="1" s="1"/>
  <c r="C13" i="2"/>
  <c r="B7" i="1" s="1"/>
  <c r="E4" i="2"/>
  <c r="F4" i="2" s="1"/>
  <c r="G4" i="2" s="1"/>
  <c r="H4" i="2" s="1"/>
  <c r="D3" i="1"/>
  <c r="E3" i="1" s="1"/>
  <c r="F3" i="1" s="1"/>
  <c r="G3" i="1" s="1"/>
  <c r="B10" i="1" l="1"/>
  <c r="B18" i="1" s="1"/>
  <c r="G18" i="1"/>
  <c r="D18" i="1"/>
  <c r="C18" i="1"/>
  <c r="E18" i="1"/>
  <c r="F18" i="1"/>
</calcChain>
</file>

<file path=xl/sharedStrings.xml><?xml version="1.0" encoding="utf-8"?>
<sst xmlns="http://schemas.openxmlformats.org/spreadsheetml/2006/main" count="69" uniqueCount="35">
  <si>
    <t xml:space="preserve"> </t>
  </si>
  <si>
    <t>Estimated</t>
  </si>
  <si>
    <t>Actual</t>
  </si>
  <si>
    <t>Beginning Balance</t>
  </si>
  <si>
    <t xml:space="preserve">2nd Week </t>
  </si>
  <si>
    <t xml:space="preserve">3rd Week </t>
  </si>
  <si>
    <t xml:space="preserve">4th Week </t>
  </si>
  <si>
    <t xml:space="preserve">5th Week </t>
  </si>
  <si>
    <t xml:space="preserve">1st Week </t>
  </si>
  <si>
    <r>
      <t>Accounts Receivable</t>
    </r>
    <r>
      <rPr>
        <sz val="12"/>
        <rFont val="Arial Narrow"/>
        <family val="2"/>
      </rPr>
      <t>- from separate schedule</t>
    </r>
  </si>
  <si>
    <t>Total Available</t>
  </si>
  <si>
    <t>DISBURSEMENTS:</t>
  </si>
  <si>
    <t>Payroll</t>
  </si>
  <si>
    <r>
      <t>Accounts Payable</t>
    </r>
    <r>
      <rPr>
        <sz val="12"/>
        <rFont val="Arial Narrow"/>
        <family val="2"/>
      </rPr>
      <t>- from separate schedule</t>
    </r>
  </si>
  <si>
    <t>C.O.D.</t>
  </si>
  <si>
    <t>Total Expenses</t>
  </si>
  <si>
    <t>ENDING BALANCE</t>
  </si>
  <si>
    <t>Weekly Forecast</t>
  </si>
  <si>
    <t xml:space="preserve">         Each week is dated to end on Saturday</t>
  </si>
  <si>
    <t>Balance</t>
  </si>
  <si>
    <t>TOTAL CARRY FORWARD</t>
  </si>
  <si>
    <t>Account</t>
  </si>
  <si>
    <r>
      <t xml:space="preserve">Shaded  </t>
    </r>
    <r>
      <rPr>
        <b/>
        <sz val="12"/>
        <color theme="1"/>
        <rFont val="Arial"/>
        <family val="2"/>
      </rPr>
      <t>$</t>
    </r>
    <r>
      <rPr>
        <sz val="12"/>
        <color theme="1"/>
        <rFont val="Arial"/>
        <family val="2"/>
      </rPr>
      <t xml:space="preserve"> and </t>
    </r>
    <r>
      <rPr>
        <b/>
        <sz val="12"/>
        <color theme="1"/>
        <rFont val="Arial"/>
        <family val="2"/>
      </rPr>
      <t>date</t>
    </r>
    <r>
      <rPr>
        <sz val="12"/>
        <color theme="1"/>
        <rFont val="Arial"/>
        <family val="2"/>
      </rPr>
      <t xml:space="preserve"> cells require no data entry.</t>
    </r>
  </si>
  <si>
    <t>Payable</t>
  </si>
  <si>
    <t xml:space="preserve">Accounts </t>
  </si>
  <si>
    <t>Receivable</t>
  </si>
  <si>
    <t>Vendor #1</t>
  </si>
  <si>
    <t>Vendor #2</t>
  </si>
  <si>
    <t>Account # 1</t>
  </si>
  <si>
    <t>Account # 2</t>
  </si>
  <si>
    <t>Transfer from: LOC</t>
  </si>
  <si>
    <t>Transfer to:                            Money Market</t>
  </si>
  <si>
    <t>L.O.C.</t>
  </si>
  <si>
    <t>CASH RECEIPTS:</t>
  </si>
  <si>
    <t>Transfer from: Money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</si>
</sst>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name val="Arial Narrow"/>
      <family val="2"/>
    </font>
    <font>
      <sz val="12"/>
      <name val="Arial Narrow"/>
      <family val="2"/>
    </font>
    <font>
      <b/>
      <u/>
      <sz val="13"/>
      <color theme="1"/>
      <name val="Arial"/>
      <family val="2"/>
    </font>
    <font>
      <b/>
      <sz val="12"/>
      <color theme="1"/>
      <name val="Arial"/>
      <family val="2"/>
    </font>
    <font>
      <sz val="10"/>
      <color rgb="FF000076"/>
      <name val="Arial"/>
      <family val="2"/>
    </font>
    <font>
      <sz val="10"/>
      <color rgb="FF00004C"/>
      <name val="Arial"/>
      <family val="2"/>
    </font>
    <font>
      <sz val="11"/>
      <color rgb="FFF2F2F2"/>
      <name val="Calibri"/>
      <family val="2"/>
      <scheme val="minor"/>
    </font>
    <font>
      <sz val="12"/>
      <color rgb="FFF7F7F7"/>
      <name val="Arial"/>
      <family val="2"/>
    </font>
  </fonts>
  <fills count="6">
    <fill>
      <patternFill patternType="none"/>
    </fill>
    <fill>
      <patternFill patternType="gray125"/>
    </fill>
    <fill>
      <patternFill patternType="gray0625"/>
    </fill>
    <fill>
      <patternFill patternType="gray0625">
        <bgColor theme="0"/>
      </patternFill>
    </fill>
    <fill>
      <patternFill patternType="solid">
        <fgColor rgb="FFF7F7F7"/>
        <bgColor indexed="64"/>
      </patternFill>
    </fill>
    <fill>
      <patternFill patternType="solid">
        <fgColor rgb="FFF5F5F5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3" fillId="0" borderId="0"/>
    <xf numFmtId="0" fontId="3" fillId="0" borderId="0"/>
  </cellStyleXfs>
  <cellXfs count="106">
    <xf numFmtId="0" fontId="0" fillId="0" borderId="0" xfId="0"/>
    <xf numFmtId="0" fontId="4" fillId="0" borderId="4" xfId="0" applyFont="1" applyBorder="1" applyAlignment="1">
      <alignment horizontal="center"/>
    </xf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4" xfId="0" applyFont="1" applyBorder="1" applyAlignment="1">
      <alignment wrapText="1"/>
    </xf>
    <xf numFmtId="0" fontId="8" fillId="0" borderId="0" xfId="0" applyFont="1" applyAlignment="1">
      <alignment wrapText="1"/>
    </xf>
    <xf numFmtId="0" fontId="5" fillId="0" borderId="34" xfId="0" applyFont="1" applyBorder="1" applyAlignment="1">
      <alignment horizontal="left"/>
    </xf>
    <xf numFmtId="0" fontId="0" fillId="0" borderId="34" xfId="0" applyBorder="1"/>
    <xf numFmtId="0" fontId="4" fillId="0" borderId="21" xfId="0" applyFont="1" applyBorder="1" applyAlignment="1" applyProtection="1">
      <alignment horizontal="center"/>
      <protection locked="0"/>
    </xf>
    <xf numFmtId="14" fontId="4" fillId="0" borderId="37" xfId="2" applyNumberFormat="1" applyFont="1" applyBorder="1" applyAlignment="1" applyProtection="1">
      <alignment horizontal="center"/>
      <protection locked="0"/>
    </xf>
    <xf numFmtId="0" fontId="7" fillId="0" borderId="9" xfId="0" applyFont="1" applyBorder="1"/>
    <xf numFmtId="0" fontId="0" fillId="0" borderId="39" xfId="0" applyBorder="1"/>
    <xf numFmtId="0" fontId="4" fillId="0" borderId="45" xfId="0" applyFont="1" applyBorder="1" applyAlignment="1">
      <alignment horizontal="centerContinuous"/>
    </xf>
    <xf numFmtId="0" fontId="4" fillId="0" borderId="46" xfId="0" applyFont="1" applyBorder="1" applyAlignment="1">
      <alignment horizontal="centerContinuous"/>
    </xf>
    <xf numFmtId="0" fontId="4" fillId="0" borderId="41" xfId="0" applyFont="1" applyBorder="1" applyAlignment="1">
      <alignment horizontal="centerContinuous"/>
    </xf>
    <xf numFmtId="0" fontId="4" fillId="0" borderId="38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49" xfId="0" applyFont="1" applyBorder="1" applyAlignment="1">
      <alignment horizontal="center"/>
    </xf>
    <xf numFmtId="0" fontId="4" fillId="0" borderId="46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0" fillId="0" borderId="54" xfId="0" applyBorder="1"/>
    <xf numFmtId="0" fontId="7" fillId="0" borderId="1" xfId="0" applyFont="1" applyBorder="1"/>
    <xf numFmtId="0" fontId="7" fillId="0" borderId="7" xfId="0" applyFont="1" applyBorder="1" applyAlignment="1">
      <alignment horizontal="center"/>
    </xf>
    <xf numFmtId="0" fontId="7" fillId="0" borderId="38" xfId="0" applyFont="1" applyBorder="1" applyAlignment="1">
      <alignment horizontal="center"/>
    </xf>
    <xf numFmtId="14" fontId="4" fillId="0" borderId="4" xfId="2" applyNumberFormat="1" applyFont="1" applyBorder="1" applyAlignment="1" applyProtection="1">
      <alignment horizontal="center"/>
      <protection locked="0"/>
    </xf>
    <xf numFmtId="0" fontId="7" fillId="0" borderId="0" xfId="0" applyFont="1" applyAlignment="1">
      <alignment vertical="center"/>
    </xf>
    <xf numFmtId="0" fontId="10" fillId="0" borderId="0" xfId="0" applyFont="1"/>
    <xf numFmtId="0" fontId="3" fillId="0" borderId="0" xfId="3"/>
    <xf numFmtId="0" fontId="12" fillId="0" borderId="0" xfId="3" applyFont="1"/>
    <xf numFmtId="0" fontId="13" fillId="0" borderId="0" xfId="3" applyFont="1"/>
    <xf numFmtId="44" fontId="6" fillId="0" borderId="25" xfId="1" applyFont="1" applyBorder="1"/>
    <xf numFmtId="44" fontId="6" fillId="0" borderId="26" xfId="1" applyFont="1" applyBorder="1"/>
    <xf numFmtId="44" fontId="6" fillId="0" borderId="39" xfId="1" applyFont="1" applyBorder="1"/>
    <xf numFmtId="44" fontId="6" fillId="0" borderId="51" xfId="1" applyFont="1" applyBorder="1"/>
    <xf numFmtId="44" fontId="6" fillId="0" borderId="19" xfId="1" applyFont="1" applyBorder="1"/>
    <xf numFmtId="44" fontId="6" fillId="0" borderId="15" xfId="1" applyFont="1" applyBorder="1"/>
    <xf numFmtId="44" fontId="6" fillId="0" borderId="12" xfId="1" applyFont="1" applyBorder="1"/>
    <xf numFmtId="44" fontId="6" fillId="0" borderId="24" xfId="1" applyFont="1" applyBorder="1"/>
    <xf numFmtId="44" fontId="6" fillId="0" borderId="50" xfId="1" applyFont="1" applyBorder="1"/>
    <xf numFmtId="44" fontId="6" fillId="0" borderId="17" xfId="1" applyFont="1" applyBorder="1"/>
    <xf numFmtId="44" fontId="6" fillId="0" borderId="18" xfId="1" applyFont="1" applyBorder="1"/>
    <xf numFmtId="44" fontId="6" fillId="0" borderId="20" xfId="1" applyFont="1" applyBorder="1"/>
    <xf numFmtId="44" fontId="6" fillId="0" borderId="47" xfId="1" applyFont="1" applyBorder="1"/>
    <xf numFmtId="44" fontId="6" fillId="0" borderId="53" xfId="1" applyFont="1" applyBorder="1"/>
    <xf numFmtId="44" fontId="6" fillId="0" borderId="52" xfId="1" applyFont="1" applyBorder="1"/>
    <xf numFmtId="44" fontId="6" fillId="0" borderId="43" xfId="1" applyFont="1" applyBorder="1"/>
    <xf numFmtId="44" fontId="6" fillId="0" borderId="44" xfId="1" applyFont="1" applyBorder="1"/>
    <xf numFmtId="44" fontId="6" fillId="0" borderId="15" xfId="1" applyFont="1" applyFill="1" applyBorder="1"/>
    <xf numFmtId="0" fontId="6" fillId="0" borderId="24" xfId="0" applyFont="1" applyBorder="1"/>
    <xf numFmtId="0" fontId="6" fillId="0" borderId="39" xfId="0" applyFont="1" applyBorder="1"/>
    <xf numFmtId="164" fontId="6" fillId="0" borderId="12" xfId="1" applyNumberFormat="1" applyFont="1" applyBorder="1"/>
    <xf numFmtId="164" fontId="6" fillId="0" borderId="15" xfId="1" applyNumberFormat="1" applyFont="1" applyFill="1" applyBorder="1"/>
    <xf numFmtId="0" fontId="7" fillId="0" borderId="59" xfId="0" applyFont="1" applyBorder="1"/>
    <xf numFmtId="0" fontId="11" fillId="0" borderId="55" xfId="0" applyFont="1" applyBorder="1"/>
    <xf numFmtId="0" fontId="7" fillId="0" borderId="0" xfId="0" applyFont="1" applyAlignment="1">
      <alignment horizontal="left" wrapText="1"/>
    </xf>
    <xf numFmtId="44" fontId="6" fillId="0" borderId="3" xfId="1" applyFont="1" applyFill="1" applyBorder="1"/>
    <xf numFmtId="14" fontId="4" fillId="2" borderId="0" xfId="2" applyNumberFormat="1" applyFont="1" applyFill="1" applyAlignment="1" applyProtection="1">
      <alignment horizontal="center"/>
      <protection locked="0"/>
    </xf>
    <xf numFmtId="14" fontId="4" fillId="2" borderId="1" xfId="2" applyNumberFormat="1" applyFont="1" applyFill="1" applyBorder="1" applyAlignment="1" applyProtection="1">
      <alignment horizontal="center"/>
      <protection locked="0"/>
    </xf>
    <xf numFmtId="0" fontId="4" fillId="2" borderId="11" xfId="0" applyFont="1" applyFill="1" applyBorder="1" applyAlignment="1">
      <alignment horizontal="left"/>
    </xf>
    <xf numFmtId="0" fontId="4" fillId="2" borderId="13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Continuous"/>
    </xf>
    <xf numFmtId="0" fontId="4" fillId="2" borderId="14" xfId="0" applyFont="1" applyFill="1" applyBorder="1" applyAlignment="1">
      <alignment horizontal="centerContinuous"/>
    </xf>
    <xf numFmtId="14" fontId="4" fillId="2" borderId="7" xfId="2" applyNumberFormat="1" applyFont="1" applyFill="1" applyBorder="1" applyAlignment="1" applyProtection="1">
      <alignment horizontal="center"/>
      <protection locked="0"/>
    </xf>
    <xf numFmtId="14" fontId="15" fillId="2" borderId="53" xfId="2" applyNumberFormat="1" applyFont="1" applyFill="1" applyBorder="1" applyAlignment="1" applyProtection="1">
      <alignment horizontal="center"/>
      <protection locked="0"/>
    </xf>
    <xf numFmtId="14" fontId="15" fillId="2" borderId="7" xfId="2" applyNumberFormat="1" applyFont="1" applyFill="1" applyBorder="1" applyAlignment="1" applyProtection="1">
      <alignment horizontal="center"/>
      <protection locked="0"/>
    </xf>
    <xf numFmtId="164" fontId="6" fillId="0" borderId="15" xfId="1" applyNumberFormat="1" applyFont="1" applyBorder="1"/>
    <xf numFmtId="164" fontId="6" fillId="0" borderId="47" xfId="1" applyNumberFormat="1" applyFont="1" applyBorder="1"/>
    <xf numFmtId="0" fontId="4" fillId="0" borderId="10" xfId="0" applyFont="1" applyBorder="1" applyAlignment="1">
      <alignment horizontal="center"/>
    </xf>
    <xf numFmtId="0" fontId="7" fillId="0" borderId="0" xfId="0" applyFont="1" applyAlignment="1">
      <alignment wrapText="1"/>
    </xf>
    <xf numFmtId="44" fontId="6" fillId="4" borderId="34" xfId="0" applyNumberFormat="1" applyFont="1" applyFill="1" applyBorder="1"/>
    <xf numFmtId="0" fontId="7" fillId="4" borderId="6" xfId="0" applyFont="1" applyFill="1" applyBorder="1"/>
    <xf numFmtId="0" fontId="0" fillId="4" borderId="2" xfId="0" applyFill="1" applyBorder="1"/>
    <xf numFmtId="0" fontId="0" fillId="4" borderId="8" xfId="0" applyFill="1" applyBorder="1"/>
    <xf numFmtId="0" fontId="2" fillId="0" borderId="55" xfId="0" applyFont="1" applyBorder="1" applyAlignment="1">
      <alignment vertical="center" wrapText="1"/>
    </xf>
    <xf numFmtId="44" fontId="6" fillId="5" borderId="56" xfId="0" applyNumberFormat="1" applyFont="1" applyFill="1" applyBorder="1"/>
    <xf numFmtId="44" fontId="6" fillId="5" borderId="58" xfId="0" applyNumberFormat="1" applyFont="1" applyFill="1" applyBorder="1"/>
    <xf numFmtId="44" fontId="6" fillId="5" borderId="30" xfId="0" applyNumberFormat="1" applyFont="1" applyFill="1" applyBorder="1"/>
    <xf numFmtId="44" fontId="6" fillId="5" borderId="27" xfId="0" applyNumberFormat="1" applyFont="1" applyFill="1" applyBorder="1"/>
    <xf numFmtId="44" fontId="6" fillId="5" borderId="32" xfId="0" applyNumberFormat="1" applyFont="1" applyFill="1" applyBorder="1"/>
    <xf numFmtId="44" fontId="6" fillId="5" borderId="16" xfId="1" applyFont="1" applyFill="1" applyBorder="1"/>
    <xf numFmtId="44" fontId="6" fillId="5" borderId="40" xfId="1" applyFont="1" applyFill="1" applyBorder="1"/>
    <xf numFmtId="44" fontId="6" fillId="5" borderId="57" xfId="1" applyFont="1" applyFill="1" applyBorder="1"/>
    <xf numFmtId="44" fontId="6" fillId="5" borderId="22" xfId="1" applyFont="1" applyFill="1" applyBorder="1"/>
    <xf numFmtId="14" fontId="4" fillId="5" borderId="35" xfId="2" applyNumberFormat="1" applyFont="1" applyFill="1" applyBorder="1" applyAlignment="1" applyProtection="1">
      <alignment horizontal="center"/>
      <protection locked="0"/>
    </xf>
    <xf numFmtId="14" fontId="4" fillId="5" borderId="36" xfId="2" applyNumberFormat="1" applyFont="1" applyFill="1" applyBorder="1" applyAlignment="1" applyProtection="1">
      <alignment horizontal="center"/>
      <protection locked="0"/>
    </xf>
    <xf numFmtId="44" fontId="6" fillId="5" borderId="56" xfId="1" applyFont="1" applyFill="1" applyBorder="1"/>
    <xf numFmtId="44" fontId="6" fillId="5" borderId="58" xfId="1" applyFont="1" applyFill="1" applyBorder="1"/>
    <xf numFmtId="44" fontId="6" fillId="5" borderId="48" xfId="1" applyFont="1" applyFill="1" applyBorder="1"/>
    <xf numFmtId="14" fontId="4" fillId="5" borderId="49" xfId="2" applyNumberFormat="1" applyFont="1" applyFill="1" applyBorder="1" applyAlignment="1" applyProtection="1">
      <alignment horizontal="center"/>
      <protection locked="0"/>
    </xf>
    <xf numFmtId="14" fontId="4" fillId="5" borderId="41" xfId="2" applyNumberFormat="1" applyFont="1" applyFill="1" applyBorder="1" applyAlignment="1" applyProtection="1">
      <alignment horizontal="center"/>
      <protection locked="0"/>
    </xf>
    <xf numFmtId="44" fontId="6" fillId="5" borderId="42" xfId="0" applyNumberFormat="1" applyFont="1" applyFill="1" applyBorder="1"/>
    <xf numFmtId="44" fontId="6" fillId="5" borderId="42" xfId="1" applyFont="1" applyFill="1" applyBorder="1"/>
    <xf numFmtId="44" fontId="6" fillId="5" borderId="28" xfId="1" applyFont="1" applyFill="1" applyBorder="1"/>
    <xf numFmtId="44" fontId="6" fillId="5" borderId="29" xfId="1" applyFont="1" applyFill="1" applyBorder="1"/>
    <xf numFmtId="44" fontId="6" fillId="5" borderId="33" xfId="1" applyFont="1" applyFill="1" applyBorder="1"/>
    <xf numFmtId="14" fontId="4" fillId="5" borderId="60" xfId="2" applyNumberFormat="1" applyFont="1" applyFill="1" applyBorder="1" applyAlignment="1" applyProtection="1">
      <alignment horizontal="center"/>
      <protection locked="0"/>
    </xf>
    <xf numFmtId="164" fontId="6" fillId="5" borderId="42" xfId="0" applyNumberFormat="1" applyFont="1" applyFill="1" applyBorder="1"/>
    <xf numFmtId="0" fontId="14" fillId="3" borderId="0" xfId="0" applyFont="1" applyFill="1"/>
    <xf numFmtId="0" fontId="14" fillId="3" borderId="31" xfId="0" applyFont="1" applyFill="1" applyBorder="1"/>
    <xf numFmtId="0" fontId="4" fillId="0" borderId="57" xfId="0" applyFont="1" applyBorder="1" applyAlignment="1" applyProtection="1">
      <alignment horizontal="center" vertical="center"/>
      <protection locked="0"/>
    </xf>
    <xf numFmtId="0" fontId="4" fillId="0" borderId="22" xfId="0" applyFont="1" applyBorder="1" applyAlignment="1" applyProtection="1">
      <alignment horizontal="center" vertical="center"/>
      <protection locked="0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6" xfId="0" applyFont="1" applyBorder="1" applyAlignment="1" applyProtection="1">
      <alignment horizontal="center" vertical="center"/>
      <protection locked="0"/>
    </xf>
    <xf numFmtId="14" fontId="4" fillId="2" borderId="53" xfId="2" applyNumberFormat="1" applyFont="1" applyFill="1" applyBorder="1" applyAlignment="1" applyProtection="1">
      <alignment horizontal="center" vertical="center"/>
      <protection locked="0"/>
    </xf>
  </cellXfs>
  <cellStyles count="4">
    <cellStyle name="Currency" xfId="1" builtinId="4"/>
    <cellStyle name="Normal" xfId="0" builtinId="0"/>
    <cellStyle name="Normal 2" xfId="3" xr:uid="{00000000-0005-0000-0000-000002000000}"/>
    <cellStyle name="Normal_BNDRWRK1" xfId="2" xr:uid="{00000000-0005-0000-0000-000003000000}"/>
  </cellStyles>
  <dxfs count="0"/>
  <tableStyles count="0" defaultTableStyle="TableStyleMedium2" defaultPivotStyle="PivotStyleLight16"/>
  <colors>
    <mruColors>
      <color rgb="FFF2F2F2"/>
      <color rgb="FFF5F5F5"/>
      <color rgb="FFF7F7F7"/>
      <color rgb="FF0000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171450</xdr:colOff>
      <xdr:row>15</xdr:row>
      <xdr:rowOff>142875</xdr:rowOff>
    </xdr:from>
    <xdr:to>
      <xdr:col>11</xdr:col>
      <xdr:colOff>180975</xdr:colOff>
      <xdr:row>17</xdr:row>
      <xdr:rowOff>142875</xdr:rowOff>
    </xdr:to>
    <xdr:sp macro="" textlink="">
      <xdr:nvSpPr>
        <xdr:cNvPr id="2" name="WordArt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152525" y="2571750"/>
          <a:ext cx="6105525" cy="323850"/>
        </a:xfrm>
        <a:prstGeom prst="rect">
          <a:avLst/>
        </a:prstGeom>
        <a:noFill/>
        <a:effectLst>
          <a:reflection blurRad="393700" stA="6000" endPos="65000" dist="50800" dir="5400000" sy="-100000" algn="bl" rotWithShape="0"/>
        </a:effectLst>
      </xdr:spPr>
      <xdr:txBody>
        <a:bodyPr wrap="none" fromWordArt="1">
          <a:prstTxWarp prst="textPlain">
            <a:avLst>
              <a:gd name="adj" fmla="val 50000"/>
            </a:avLst>
          </a:prstTxWarp>
          <a:scene3d>
            <a:camera prst="legacyObliqueBottomLeft"/>
            <a:lightRig rig="legacyFlat3" dir="b"/>
          </a:scene3d>
          <a:sp3d extrusionH="74600" prstMaterial="legacyMatte">
            <a:extrusionClr>
              <a:srgbClr val="A58F51"/>
            </a:extrusionClr>
          </a:sp3d>
        </a:bodyPr>
        <a:lstStyle/>
        <a:p>
          <a:pPr algn="ctr" rtl="0"/>
          <a:r>
            <a:rPr lang="en-US" sz="3600" kern="10" spc="0">
              <a:ln w="13970">
                <a:round/>
                <a:headEnd/>
                <a:tailEnd/>
              </a:ln>
              <a:solidFill>
                <a:srgbClr val="0000CC"/>
              </a:solidFill>
              <a:effectLst/>
              <a:latin typeface="Bahnschrift SemiBold Condensed" panose="020B0502040204020203" pitchFamily="34" charset="0"/>
              <a:cs typeface="Times New Roman"/>
            </a:rPr>
            <a:t>Short-Term Cash Flow Forecast</a:t>
          </a:r>
        </a:p>
      </xdr:txBody>
    </xdr:sp>
    <xdr:clientData/>
  </xdr:twoCellAnchor>
  <xdr:twoCellAnchor>
    <xdr:from>
      <xdr:col>9</xdr:col>
      <xdr:colOff>552450</xdr:colOff>
      <xdr:row>40</xdr:row>
      <xdr:rowOff>0</xdr:rowOff>
    </xdr:from>
    <xdr:to>
      <xdr:col>12</xdr:col>
      <xdr:colOff>533400</xdr:colOff>
      <xdr:row>41</xdr:row>
      <xdr:rowOff>104775</xdr:rowOff>
    </xdr:to>
    <xdr:sp macro="" textlink="">
      <xdr:nvSpPr>
        <xdr:cNvPr id="3" name="WordArt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410325" y="6477000"/>
          <a:ext cx="1809750" cy="2667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  <a:scene3d>
            <a:camera prst="legacyObliqueBottomLeft"/>
            <a:lightRig rig="legacyFlat3" dir="b"/>
          </a:scene3d>
          <a:sp3d extrusionH="23800" prstMaterial="legacyMatte">
            <a:extrusionClr>
              <a:srgbClr val="A58F51"/>
            </a:extrusionClr>
          </a:sp3d>
        </a:bodyPr>
        <a:lstStyle/>
        <a:p>
          <a:pPr algn="ctr" rtl="0"/>
          <a:r>
            <a:rPr lang="en-US" sz="3600" kern="10" spc="0">
              <a:ln w="13970">
                <a:round/>
                <a:headEnd/>
                <a:tailEnd/>
              </a:ln>
              <a:solidFill>
                <a:srgbClr val="000068"/>
              </a:solidFill>
              <a:effectLst/>
              <a:latin typeface="Times New Roman"/>
              <a:cs typeface="Times New Roman"/>
            </a:rPr>
            <a:t>Feb, 2021</a:t>
          </a:r>
        </a:p>
      </xdr:txBody>
    </xdr:sp>
    <xdr:clientData/>
  </xdr:twoCellAnchor>
  <xdr:twoCellAnchor>
    <xdr:from>
      <xdr:col>1</xdr:col>
      <xdr:colOff>28576</xdr:colOff>
      <xdr:row>6</xdr:row>
      <xdr:rowOff>0</xdr:rowOff>
    </xdr:from>
    <xdr:to>
      <xdr:col>12</xdr:col>
      <xdr:colOff>9526</xdr:colOff>
      <xdr:row>8</xdr:row>
      <xdr:rowOff>0</xdr:rowOff>
    </xdr:to>
    <xdr:sp macro="" textlink="">
      <xdr:nvSpPr>
        <xdr:cNvPr id="4" name="Word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009651" y="971550"/>
          <a:ext cx="6686550" cy="323850"/>
        </a:xfrm>
        <a:prstGeom prst="rect">
          <a:avLst/>
        </a:prstGeom>
        <a:noFill/>
      </xdr:spPr>
      <xdr:txBody>
        <a:bodyPr wrap="none" fromWordArt="1">
          <a:prstTxWarp prst="textPlain">
            <a:avLst>
              <a:gd name="adj" fmla="val 50000"/>
            </a:avLst>
          </a:prstTxWarp>
          <a:scene3d>
            <a:camera prst="legacyObliqueBottomLeft"/>
            <a:lightRig rig="legacyFlat3" dir="b"/>
          </a:scene3d>
          <a:sp3d extrusionH="74600" prstMaterial="legacyMatte">
            <a:extrusionClr>
              <a:srgbClr val="A58F51"/>
            </a:extrusionClr>
          </a:sp3d>
        </a:bodyPr>
        <a:lstStyle/>
        <a:p>
          <a:pPr algn="ctr" rtl="0"/>
          <a:endParaRPr lang="en-US" sz="3600" kern="10" spc="0">
            <a:ln w="13970">
              <a:round/>
              <a:headEnd/>
              <a:tailEnd/>
            </a:ln>
            <a:solidFill>
              <a:schemeClr val="tx1"/>
            </a:solidFill>
            <a:effectLst/>
            <a:latin typeface="Times New Roman"/>
            <a:cs typeface="Times New Roman"/>
          </a:endParaRPr>
        </a:p>
      </xdr:txBody>
    </xdr:sp>
    <xdr:clientData/>
  </xdr:twoCellAnchor>
  <xdr:twoCellAnchor>
    <xdr:from>
      <xdr:col>6</xdr:col>
      <xdr:colOff>9524</xdr:colOff>
      <xdr:row>20</xdr:row>
      <xdr:rowOff>85725</xdr:rowOff>
    </xdr:from>
    <xdr:to>
      <xdr:col>6</xdr:col>
      <xdr:colOff>295275</xdr:colOff>
      <xdr:row>22</xdr:row>
      <xdr:rowOff>85725</xdr:rowOff>
    </xdr:to>
    <xdr:sp macro="" textlink="">
      <xdr:nvSpPr>
        <xdr:cNvPr id="6" name="WordArt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038599" y="3324225"/>
          <a:ext cx="285751" cy="323850"/>
        </a:xfrm>
        <a:prstGeom prst="rect">
          <a:avLst/>
        </a:prstGeom>
        <a:noFill/>
        <a:effectLst>
          <a:reflection blurRad="393700" stA="6000" endPos="65000" dist="50800" dir="5400000" sy="-100000" algn="bl" rotWithShape="0"/>
        </a:effectLst>
      </xdr:spPr>
      <xdr:txBody>
        <a:bodyPr wrap="none" fromWordArt="1">
          <a:prstTxWarp prst="textPlain">
            <a:avLst>
              <a:gd name="adj" fmla="val 50000"/>
            </a:avLst>
          </a:prstTxWarp>
          <a:scene3d>
            <a:camera prst="legacyObliqueBottomLeft"/>
            <a:lightRig rig="legacyFlat3" dir="b"/>
          </a:scene3d>
          <a:sp3d extrusionH="74600" prstMaterial="legacyMatte">
            <a:extrusionClr>
              <a:srgbClr val="A58F51"/>
            </a:extrusionClr>
          </a:sp3d>
        </a:bodyPr>
        <a:lstStyle/>
        <a:p>
          <a:pPr algn="ctr" rtl="0"/>
          <a:r>
            <a:rPr lang="en-US" sz="3600" kern="10" spc="0">
              <a:ln w="13970">
                <a:round/>
                <a:headEnd/>
                <a:tailEnd/>
              </a:ln>
              <a:solidFill>
                <a:srgbClr val="0000CC"/>
              </a:solidFill>
              <a:effectLst/>
              <a:latin typeface="Bahnschrift SemiBold Condensed" panose="020B0502040204020203" pitchFamily="34" charset="0"/>
              <a:cs typeface="Times New Roman"/>
            </a:rPr>
            <a:t>&amp;</a:t>
          </a:r>
        </a:p>
      </xdr:txBody>
    </xdr:sp>
    <xdr:clientData/>
  </xdr:twoCellAnchor>
  <xdr:twoCellAnchor>
    <xdr:from>
      <xdr:col>2</xdr:col>
      <xdr:colOff>276226</xdr:colOff>
      <xdr:row>24</xdr:row>
      <xdr:rowOff>104775</xdr:rowOff>
    </xdr:from>
    <xdr:to>
      <xdr:col>10</xdr:col>
      <xdr:colOff>266700</xdr:colOff>
      <xdr:row>26</xdr:row>
      <xdr:rowOff>104775</xdr:rowOff>
    </xdr:to>
    <xdr:sp macro="" textlink="">
      <xdr:nvSpPr>
        <xdr:cNvPr id="7" name="WordArt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866901" y="3990975"/>
          <a:ext cx="4867274" cy="323850"/>
        </a:xfrm>
        <a:prstGeom prst="rect">
          <a:avLst/>
        </a:prstGeom>
        <a:noFill/>
        <a:effectLst>
          <a:reflection blurRad="393700" stA="6000" endPos="65000" dist="50800" dir="5400000" sy="-100000" algn="bl" rotWithShape="0"/>
        </a:effectLst>
      </xdr:spPr>
      <xdr:txBody>
        <a:bodyPr wrap="none" fromWordArt="1">
          <a:prstTxWarp prst="textPlain">
            <a:avLst>
              <a:gd name="adj" fmla="val 50000"/>
            </a:avLst>
          </a:prstTxWarp>
          <a:scene3d>
            <a:camera prst="legacyObliqueBottomLeft"/>
            <a:lightRig rig="legacyFlat3" dir="b"/>
          </a:scene3d>
          <a:sp3d extrusionH="74600" prstMaterial="legacyMatte">
            <a:extrusionClr>
              <a:srgbClr val="A58F51"/>
            </a:extrusionClr>
          </a:sp3d>
        </a:bodyPr>
        <a:lstStyle/>
        <a:p>
          <a:pPr algn="ctr" rtl="0"/>
          <a:r>
            <a:rPr lang="en-US" sz="3600" kern="10" spc="0">
              <a:ln w="13970">
                <a:round/>
                <a:headEnd/>
                <a:tailEnd/>
              </a:ln>
              <a:solidFill>
                <a:srgbClr val="000066"/>
              </a:solidFill>
              <a:effectLst/>
              <a:latin typeface="Arial Black" panose="020B0A04020102020204" pitchFamily="34" charset="0"/>
              <a:cs typeface="Times New Roman"/>
            </a:rPr>
            <a:t> </a:t>
          </a:r>
          <a:r>
            <a:rPr lang="en-US" sz="3600" kern="10" spc="0">
              <a:ln w="13970">
                <a:round/>
                <a:headEnd/>
                <a:tailEnd/>
              </a:ln>
              <a:solidFill>
                <a:srgbClr val="0000CC"/>
              </a:solidFill>
              <a:effectLst/>
              <a:latin typeface="Bahnschrift SemiBold Condensed" panose="020B0502040204020203" pitchFamily="34" charset="0"/>
              <a:cs typeface="Times New Roman"/>
            </a:rPr>
            <a:t>Cash Management</a:t>
          </a:r>
        </a:p>
      </xdr:txBody>
    </xdr:sp>
    <xdr:clientData/>
  </xdr:twoCellAnchor>
  <xdr:twoCellAnchor editAs="oneCell">
    <xdr:from>
      <xdr:col>1</xdr:col>
      <xdr:colOff>247650</xdr:colOff>
      <xdr:row>6</xdr:row>
      <xdr:rowOff>28575</xdr:rowOff>
    </xdr:from>
    <xdr:to>
      <xdr:col>11</xdr:col>
      <xdr:colOff>114300</xdr:colOff>
      <xdr:row>13</xdr:row>
      <xdr:rowOff>133350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8725" y="1000125"/>
          <a:ext cx="5962650" cy="1238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1209675</xdr:colOff>
      <xdr:row>1</xdr:row>
      <xdr:rowOff>57150</xdr:rowOff>
    </xdr:from>
    <xdr:to>
      <xdr:col>0</xdr:col>
      <xdr:colOff>1483995</xdr:colOff>
      <xdr:row>1</xdr:row>
      <xdr:rowOff>161925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1209675" y="447675"/>
          <a:ext cx="274320" cy="104775"/>
        </a:xfrm>
        <a:prstGeom prst="rightArrow">
          <a:avLst>
            <a:gd name="adj1" fmla="val 50000"/>
            <a:gd name="adj2" fmla="val 97727"/>
          </a:avLst>
        </a:prstGeom>
        <a:solidFill>
          <a:srgbClr val="FFFF99"/>
        </a:solidFill>
        <a:ln w="14224">
          <a:solidFill>
            <a:srgbClr val="0033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1295400</xdr:colOff>
      <xdr:row>5</xdr:row>
      <xdr:rowOff>95250</xdr:rowOff>
    </xdr:from>
    <xdr:to>
      <xdr:col>1</xdr:col>
      <xdr:colOff>30480</xdr:colOff>
      <xdr:row>5</xdr:row>
      <xdr:rowOff>200025</xdr:rowOff>
    </xdr:to>
    <xdr:sp macro="" textlink="">
      <xdr:nvSpPr>
        <xdr:cNvPr id="5" name="AutoShape 7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1295400" y="1333500"/>
          <a:ext cx="182880" cy="104775"/>
        </a:xfrm>
        <a:prstGeom prst="rightArrow">
          <a:avLst>
            <a:gd name="adj1" fmla="val 50000"/>
            <a:gd name="adj2" fmla="val 97727"/>
          </a:avLst>
        </a:prstGeom>
        <a:solidFill>
          <a:srgbClr val="FFFF99"/>
        </a:solidFill>
        <a:ln w="14224">
          <a:solidFill>
            <a:srgbClr val="0033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342900</xdr:colOff>
      <xdr:row>2</xdr:row>
      <xdr:rowOff>76200</xdr:rowOff>
    </xdr:from>
    <xdr:to>
      <xdr:col>1</xdr:col>
      <xdr:colOff>800100</xdr:colOff>
      <xdr:row>2</xdr:row>
      <xdr:rowOff>180975</xdr:rowOff>
    </xdr:to>
    <xdr:sp macro="" textlink="">
      <xdr:nvSpPr>
        <xdr:cNvPr id="2" name="AutoShape 7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rrowheads="1"/>
        </xdr:cNvSpPr>
      </xdr:nvSpPr>
      <xdr:spPr bwMode="auto">
        <a:xfrm>
          <a:off x="1190625" y="466725"/>
          <a:ext cx="457200" cy="104775"/>
        </a:xfrm>
        <a:prstGeom prst="rightArrow">
          <a:avLst>
            <a:gd name="adj1" fmla="val 50000"/>
            <a:gd name="adj2" fmla="val 97727"/>
          </a:avLst>
        </a:prstGeom>
        <a:solidFill>
          <a:srgbClr val="FFFF99"/>
        </a:solidFill>
        <a:ln w="14224">
          <a:solidFill>
            <a:srgbClr val="0033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333375</xdr:colOff>
      <xdr:row>2</xdr:row>
      <xdr:rowOff>85725</xdr:rowOff>
    </xdr:from>
    <xdr:to>
      <xdr:col>1</xdr:col>
      <xdr:colOff>790575</xdr:colOff>
      <xdr:row>2</xdr:row>
      <xdr:rowOff>190500</xdr:rowOff>
    </xdr:to>
    <xdr:sp macro="" textlink="">
      <xdr:nvSpPr>
        <xdr:cNvPr id="2" name="AutoShape 7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1181100" y="476250"/>
          <a:ext cx="457200" cy="104775"/>
        </a:xfrm>
        <a:prstGeom prst="rightArrow">
          <a:avLst>
            <a:gd name="adj1" fmla="val 50000"/>
            <a:gd name="adj2" fmla="val 97727"/>
          </a:avLst>
        </a:prstGeom>
        <a:solidFill>
          <a:srgbClr val="FFFF99"/>
        </a:solidFill>
        <a:ln w="14224">
          <a:solidFill>
            <a:srgbClr val="0033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D19:G29"/>
  <sheetViews>
    <sheetView showGridLines="0" topLeftCell="A18" workbookViewId="0">
      <selection activeCell="J33" sqref="J33"/>
    </sheetView>
  </sheetViews>
  <sheetFormatPr defaultRowHeight="12.75" x14ac:dyDescent="0.2"/>
  <cols>
    <col min="1" max="1" width="14.7109375" style="28" customWidth="1"/>
    <col min="2" max="16384" width="9.140625" style="28"/>
  </cols>
  <sheetData>
    <row r="19" spans="4:7" x14ac:dyDescent="0.2">
      <c r="G19" s="29"/>
    </row>
    <row r="20" spans="4:7" x14ac:dyDescent="0.2">
      <c r="D20" s="28" t="s">
        <v>0</v>
      </c>
    </row>
    <row r="29" spans="4:7" x14ac:dyDescent="0.2">
      <c r="F29" s="30"/>
    </row>
  </sheetData>
  <pageMargins left="0.38" right="0.79" top="0.7" bottom="0.5" header="0.5" footer="0.5"/>
  <pageSetup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showGridLines="0" tabSelected="1" view="pageLayout" zoomScaleNormal="100" workbookViewId="0">
      <selection activeCell="C29" sqref="C29"/>
    </sheetView>
  </sheetViews>
  <sheetFormatPr defaultRowHeight="15" x14ac:dyDescent="0.25"/>
  <cols>
    <col min="1" max="1" width="21.7109375" customWidth="1"/>
    <col min="2" max="7" width="13.28515625" customWidth="1"/>
  </cols>
  <sheetData>
    <row r="1" spans="1:7" ht="15.75" x14ac:dyDescent="0.25">
      <c r="B1" s="6" t="s">
        <v>18</v>
      </c>
      <c r="C1" s="7"/>
      <c r="D1" s="7"/>
      <c r="E1" s="7"/>
      <c r="F1" s="7"/>
      <c r="G1" s="7"/>
    </row>
    <row r="2" spans="1:7" ht="20.100000000000001" customHeight="1" x14ac:dyDescent="0.25">
      <c r="A2" s="2" t="s">
        <v>17</v>
      </c>
      <c r="B2" s="8" t="s">
        <v>8</v>
      </c>
      <c r="C2" s="57"/>
      <c r="D2" s="101" t="s">
        <v>4</v>
      </c>
      <c r="E2" s="101" t="s">
        <v>5</v>
      </c>
      <c r="F2" s="102" t="s">
        <v>6</v>
      </c>
      <c r="G2" s="103" t="s">
        <v>7</v>
      </c>
    </row>
    <row r="3" spans="1:7" ht="15.75" x14ac:dyDescent="0.25">
      <c r="B3" s="9">
        <v>44254</v>
      </c>
      <c r="C3" s="58"/>
      <c r="D3" s="84">
        <f>B3+7</f>
        <v>44261</v>
      </c>
      <c r="E3" s="84">
        <f>D3+7</f>
        <v>44268</v>
      </c>
      <c r="F3" s="84">
        <f>E3+7</f>
        <v>44275</v>
      </c>
      <c r="G3" s="85">
        <f>F3+7</f>
        <v>44282</v>
      </c>
    </row>
    <row r="4" spans="1:7" ht="15.75" x14ac:dyDescent="0.25">
      <c r="B4" s="68" t="s">
        <v>1</v>
      </c>
      <c r="C4" s="1" t="s">
        <v>2</v>
      </c>
      <c r="D4" s="12" t="s">
        <v>1</v>
      </c>
      <c r="E4" s="13" t="s">
        <v>1</v>
      </c>
      <c r="F4" s="13" t="s">
        <v>1</v>
      </c>
      <c r="G4" s="14" t="s">
        <v>1</v>
      </c>
    </row>
    <row r="5" spans="1:7" ht="20.100000000000001" customHeight="1" x14ac:dyDescent="0.25">
      <c r="A5" s="27" t="s">
        <v>33</v>
      </c>
      <c r="B5" s="59"/>
      <c r="C5" s="60"/>
      <c r="D5" s="61"/>
      <c r="E5" s="61"/>
      <c r="F5" s="61"/>
      <c r="G5" s="62"/>
    </row>
    <row r="6" spans="1:7" ht="20.100000000000001" customHeight="1" x14ac:dyDescent="0.25">
      <c r="A6" s="2" t="s">
        <v>3</v>
      </c>
      <c r="B6" s="70">
        <f>+C6</f>
        <v>0</v>
      </c>
      <c r="C6" s="33">
        <v>0</v>
      </c>
      <c r="D6" s="34">
        <v>0</v>
      </c>
      <c r="E6" s="35">
        <v>0</v>
      </c>
      <c r="F6" s="35">
        <v>0</v>
      </c>
      <c r="G6" s="35">
        <v>0</v>
      </c>
    </row>
    <row r="7" spans="1:7" ht="35.1" customHeight="1" x14ac:dyDescent="0.25">
      <c r="A7" s="4" t="s">
        <v>9</v>
      </c>
      <c r="B7" s="80">
        <f>+'2. Accounts Receivable'!C13</f>
        <v>0</v>
      </c>
      <c r="C7" s="81">
        <f>+'2. Accounts Receivable'!D13</f>
        <v>0</v>
      </c>
      <c r="D7" s="82">
        <f>+'2. Accounts Receivable'!E13</f>
        <v>0</v>
      </c>
      <c r="E7" s="83">
        <f>+'2. Accounts Receivable'!F13</f>
        <v>0</v>
      </c>
      <c r="F7" s="83">
        <f>+'2. Accounts Receivable'!G13</f>
        <v>0</v>
      </c>
      <c r="G7" s="83">
        <f>+'2. Accounts Receivable'!H13</f>
        <v>0</v>
      </c>
    </row>
    <row r="8" spans="1:7" ht="20.100000000000001" customHeight="1" x14ac:dyDescent="0.25">
      <c r="A8" s="2" t="s">
        <v>30</v>
      </c>
      <c r="B8" s="36">
        <v>0</v>
      </c>
      <c r="C8" s="33">
        <v>0</v>
      </c>
      <c r="D8" s="34">
        <v>0</v>
      </c>
      <c r="E8" s="35">
        <v>0</v>
      </c>
      <c r="F8" s="35">
        <v>0</v>
      </c>
      <c r="G8" s="35">
        <v>0</v>
      </c>
    </row>
    <row r="9" spans="1:7" ht="35.1" customHeight="1" x14ac:dyDescent="0.25">
      <c r="A9" s="69" t="s">
        <v>34</v>
      </c>
      <c r="B9" s="36">
        <v>0</v>
      </c>
      <c r="C9" s="33">
        <v>0</v>
      </c>
      <c r="D9" s="34">
        <v>0</v>
      </c>
      <c r="E9" s="35">
        <v>0</v>
      </c>
      <c r="F9" s="35">
        <v>0</v>
      </c>
      <c r="G9" s="35">
        <v>0</v>
      </c>
    </row>
    <row r="10" spans="1:7" ht="20.100000000000001" customHeight="1" thickBot="1" x14ac:dyDescent="0.3">
      <c r="A10" s="2" t="s">
        <v>10</v>
      </c>
      <c r="B10" s="75">
        <f t="shared" ref="B10:G10" si="0">SUM(B6:B9)</f>
        <v>0</v>
      </c>
      <c r="C10" s="76">
        <f t="shared" si="0"/>
        <v>0</v>
      </c>
      <c r="D10" s="77">
        <f t="shared" si="0"/>
        <v>0</v>
      </c>
      <c r="E10" s="78">
        <f t="shared" si="0"/>
        <v>0</v>
      </c>
      <c r="F10" s="78">
        <f t="shared" si="0"/>
        <v>0</v>
      </c>
      <c r="G10" s="79">
        <f t="shared" si="0"/>
        <v>0</v>
      </c>
    </row>
    <row r="11" spans="1:7" ht="20.100000000000001" customHeight="1" x14ac:dyDescent="0.25">
      <c r="A11" s="27" t="s">
        <v>11</v>
      </c>
      <c r="B11" s="98"/>
      <c r="C11" s="98"/>
      <c r="D11" s="98"/>
      <c r="E11" s="98"/>
      <c r="F11" s="98"/>
      <c r="G11" s="99"/>
    </row>
    <row r="12" spans="1:7" ht="20.100000000000001" customHeight="1" x14ac:dyDescent="0.25">
      <c r="A12" s="2" t="s">
        <v>12</v>
      </c>
      <c r="B12" s="31">
        <v>0</v>
      </c>
      <c r="C12" s="31">
        <v>0</v>
      </c>
      <c r="D12" s="31">
        <v>0</v>
      </c>
      <c r="E12" s="32">
        <v>0</v>
      </c>
      <c r="F12" s="32">
        <v>0</v>
      </c>
      <c r="G12" s="32">
        <v>0</v>
      </c>
    </row>
    <row r="13" spans="1:7" ht="20.100000000000001" customHeight="1" x14ac:dyDescent="0.25">
      <c r="A13" s="2" t="s">
        <v>14</v>
      </c>
      <c r="B13" s="31">
        <v>0</v>
      </c>
      <c r="C13" s="31">
        <v>0</v>
      </c>
      <c r="D13" s="31">
        <v>0</v>
      </c>
      <c r="E13" s="32">
        <v>0</v>
      </c>
      <c r="F13" s="32">
        <v>0</v>
      </c>
      <c r="G13" s="32">
        <v>0</v>
      </c>
    </row>
    <row r="14" spans="1:7" ht="20.100000000000001" customHeight="1" x14ac:dyDescent="0.25">
      <c r="A14" s="2" t="s">
        <v>32</v>
      </c>
      <c r="B14" s="31">
        <v>0</v>
      </c>
      <c r="C14" s="31">
        <v>0</v>
      </c>
      <c r="D14" s="31">
        <v>0</v>
      </c>
      <c r="E14" s="32">
        <v>0</v>
      </c>
      <c r="F14" s="32">
        <v>0</v>
      </c>
      <c r="G14" s="32">
        <v>0</v>
      </c>
    </row>
    <row r="15" spans="1:7" ht="35.1" customHeight="1" x14ac:dyDescent="0.25">
      <c r="A15" s="5" t="s">
        <v>13</v>
      </c>
      <c r="B15" s="80">
        <f>+'3. Accounts Payable'!C13</f>
        <v>0</v>
      </c>
      <c r="C15" s="81">
        <f>+'3. Accounts Payable'!D13</f>
        <v>0</v>
      </c>
      <c r="D15" s="82">
        <f>+'3. Accounts Payable'!E13</f>
        <v>0</v>
      </c>
      <c r="E15" s="83">
        <f>+'3. Accounts Payable'!F13</f>
        <v>0</v>
      </c>
      <c r="F15" s="83">
        <f>+'3. Accounts Payable'!G13</f>
        <v>0</v>
      </c>
      <c r="G15" s="83">
        <f>+'3. Accounts Payable'!H13</f>
        <v>0</v>
      </c>
    </row>
    <row r="16" spans="1:7" ht="20.100000000000001" customHeight="1" thickBot="1" x14ac:dyDescent="0.3">
      <c r="A16" s="53" t="s">
        <v>15</v>
      </c>
      <c r="B16" s="86">
        <f t="shared" ref="B16:G16" si="1">SUM(B12:B15)</f>
        <v>0</v>
      </c>
      <c r="C16" s="87">
        <f t="shared" si="1"/>
        <v>0</v>
      </c>
      <c r="D16" s="87">
        <f t="shared" si="1"/>
        <v>0</v>
      </c>
      <c r="E16" s="87">
        <f t="shared" si="1"/>
        <v>0</v>
      </c>
      <c r="F16" s="87">
        <f t="shared" si="1"/>
        <v>0</v>
      </c>
      <c r="G16" s="87">
        <f t="shared" si="1"/>
        <v>0</v>
      </c>
    </row>
    <row r="17" spans="1:7" ht="35.1" customHeight="1" thickBot="1" x14ac:dyDescent="0.3">
      <c r="A17" s="55" t="s">
        <v>31</v>
      </c>
      <c r="B17" s="56">
        <v>20000</v>
      </c>
      <c r="C17" s="56">
        <v>0</v>
      </c>
      <c r="D17" s="56">
        <v>0</v>
      </c>
      <c r="E17" s="56">
        <v>0</v>
      </c>
      <c r="F17" s="56">
        <v>0</v>
      </c>
      <c r="G17" s="56">
        <v>0</v>
      </c>
    </row>
    <row r="18" spans="1:7" ht="24.95" customHeight="1" thickBot="1" x14ac:dyDescent="0.3">
      <c r="A18" s="54" t="s">
        <v>16</v>
      </c>
      <c r="B18" s="88">
        <f t="shared" ref="B18:G18" si="2">(+B10-+B16)-+B17</f>
        <v>-20000</v>
      </c>
      <c r="C18" s="88">
        <f t="shared" si="2"/>
        <v>0</v>
      </c>
      <c r="D18" s="88">
        <f t="shared" si="2"/>
        <v>0</v>
      </c>
      <c r="E18" s="88">
        <f t="shared" si="2"/>
        <v>0</v>
      </c>
      <c r="F18" s="88">
        <f t="shared" si="2"/>
        <v>0</v>
      </c>
      <c r="G18" s="88">
        <f t="shared" si="2"/>
        <v>0</v>
      </c>
    </row>
    <row r="20" spans="1:7" ht="15.75" x14ac:dyDescent="0.25">
      <c r="A20" s="71" t="s">
        <v>22</v>
      </c>
      <c r="B20" s="72"/>
      <c r="C20" s="73"/>
    </row>
  </sheetData>
  <pageMargins left="0.2" right="0.2" top="0.5" bottom="0.5" header="0.3" footer="0.3"/>
  <pageSetup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13"/>
  <sheetViews>
    <sheetView showGridLines="0" workbookViewId="0">
      <selection activeCell="E18" sqref="E18"/>
    </sheetView>
  </sheetViews>
  <sheetFormatPr defaultRowHeight="15" x14ac:dyDescent="0.25"/>
  <cols>
    <col min="1" max="8" width="12.7109375" customWidth="1"/>
  </cols>
  <sheetData>
    <row r="2" spans="1:8" ht="15.75" x14ac:dyDescent="0.25">
      <c r="C2" s="6" t="s">
        <v>18</v>
      </c>
      <c r="D2" s="7"/>
      <c r="E2" s="7"/>
      <c r="F2" s="7"/>
      <c r="G2" s="7"/>
      <c r="H2" s="7"/>
    </row>
    <row r="3" spans="1:8" ht="20.100000000000001" customHeight="1" x14ac:dyDescent="0.25">
      <c r="A3" s="26" t="s">
        <v>17</v>
      </c>
      <c r="B3" s="2"/>
      <c r="C3" s="104" t="s">
        <v>8</v>
      </c>
      <c r="D3" s="105"/>
      <c r="E3" s="100" t="s">
        <v>4</v>
      </c>
      <c r="F3" s="101" t="s">
        <v>5</v>
      </c>
      <c r="G3" s="102" t="s">
        <v>6</v>
      </c>
      <c r="H3" s="103" t="s">
        <v>7</v>
      </c>
    </row>
    <row r="4" spans="1:8" ht="20.100000000000001" customHeight="1" x14ac:dyDescent="0.25">
      <c r="A4" s="2" t="s">
        <v>24</v>
      </c>
      <c r="B4" s="24" t="s">
        <v>21</v>
      </c>
      <c r="C4" s="25">
        <f>+'1. Cash Flow Summary'!B3</f>
        <v>44254</v>
      </c>
      <c r="D4" s="63"/>
      <c r="E4" s="89">
        <f>C4+7</f>
        <v>44261</v>
      </c>
      <c r="F4" s="84">
        <f>E4+7</f>
        <v>44268</v>
      </c>
      <c r="G4" s="84">
        <f>F4+7</f>
        <v>44275</v>
      </c>
      <c r="H4" s="90">
        <f>G4+7</f>
        <v>44282</v>
      </c>
    </row>
    <row r="5" spans="1:8" ht="20.100000000000001" customHeight="1" x14ac:dyDescent="0.25">
      <c r="A5" s="10" t="s">
        <v>25</v>
      </c>
      <c r="B5" s="23" t="s">
        <v>19</v>
      </c>
      <c r="C5" s="16" t="s">
        <v>1</v>
      </c>
      <c r="D5" s="15" t="s">
        <v>2</v>
      </c>
      <c r="E5" s="18" t="s">
        <v>1</v>
      </c>
      <c r="F5" s="19" t="s">
        <v>1</v>
      </c>
      <c r="G5" s="19" t="s">
        <v>1</v>
      </c>
      <c r="H5" s="20" t="s">
        <v>1</v>
      </c>
    </row>
    <row r="6" spans="1:8" ht="20.100000000000001" customHeight="1" x14ac:dyDescent="0.25">
      <c r="A6" s="49" t="s">
        <v>28</v>
      </c>
      <c r="B6" s="37">
        <v>0</v>
      </c>
      <c r="C6" s="37">
        <v>0</v>
      </c>
      <c r="D6" s="38">
        <v>0</v>
      </c>
      <c r="E6" s="39">
        <v>0</v>
      </c>
      <c r="F6" s="40">
        <v>0</v>
      </c>
      <c r="G6" s="40">
        <v>0</v>
      </c>
      <c r="H6" s="41">
        <v>0</v>
      </c>
    </row>
    <row r="7" spans="1:8" ht="20.100000000000001" customHeight="1" x14ac:dyDescent="0.25">
      <c r="A7" s="50" t="s">
        <v>29</v>
      </c>
      <c r="B7" s="48">
        <v>0</v>
      </c>
      <c r="C7" s="36">
        <v>0</v>
      </c>
      <c r="D7" s="33">
        <v>0</v>
      </c>
      <c r="E7" s="34">
        <v>0</v>
      </c>
      <c r="F7" s="35">
        <v>0</v>
      </c>
      <c r="G7" s="35">
        <v>0</v>
      </c>
      <c r="H7" s="42">
        <v>0</v>
      </c>
    </row>
    <row r="8" spans="1:8" ht="20.100000000000001" customHeight="1" x14ac:dyDescent="0.25">
      <c r="A8" s="11"/>
      <c r="B8" s="36">
        <v>0</v>
      </c>
      <c r="C8" s="36">
        <v>0</v>
      </c>
      <c r="D8" s="33">
        <v>0</v>
      </c>
      <c r="E8" s="34">
        <v>0</v>
      </c>
      <c r="F8" s="35">
        <v>0</v>
      </c>
      <c r="G8" s="35">
        <v>0</v>
      </c>
      <c r="H8" s="42">
        <v>0</v>
      </c>
    </row>
    <row r="9" spans="1:8" ht="20.100000000000001" customHeight="1" x14ac:dyDescent="0.25">
      <c r="A9" s="11"/>
      <c r="B9" s="36">
        <v>0</v>
      </c>
      <c r="C9" s="36">
        <v>0</v>
      </c>
      <c r="D9" s="33">
        <v>0</v>
      </c>
      <c r="E9" s="34">
        <v>0</v>
      </c>
      <c r="F9" s="35">
        <v>0</v>
      </c>
      <c r="G9" s="35">
        <v>0</v>
      </c>
      <c r="H9" s="42">
        <v>0</v>
      </c>
    </row>
    <row r="10" spans="1:8" ht="20.100000000000001" customHeight="1" x14ac:dyDescent="0.25">
      <c r="A10" s="11"/>
      <c r="B10" s="36">
        <v>0</v>
      </c>
      <c r="C10" s="36">
        <v>0</v>
      </c>
      <c r="D10" s="33">
        <v>0</v>
      </c>
      <c r="E10" s="34">
        <v>0</v>
      </c>
      <c r="F10" s="35">
        <v>0</v>
      </c>
      <c r="G10" s="35">
        <v>0</v>
      </c>
      <c r="H10" s="42">
        <v>0</v>
      </c>
    </row>
    <row r="11" spans="1:8" ht="20.100000000000001" customHeight="1" x14ac:dyDescent="0.25">
      <c r="A11" s="11"/>
      <c r="B11" s="36">
        <v>0</v>
      </c>
      <c r="C11" s="36">
        <v>0</v>
      </c>
      <c r="D11" s="33">
        <v>0</v>
      </c>
      <c r="E11" s="34">
        <v>0</v>
      </c>
      <c r="F11" s="35">
        <v>0</v>
      </c>
      <c r="G11" s="35">
        <v>0</v>
      </c>
      <c r="H11" s="42">
        <v>0</v>
      </c>
    </row>
    <row r="12" spans="1:8" ht="20.100000000000001" customHeight="1" thickBot="1" x14ac:dyDescent="0.3">
      <c r="A12" s="21"/>
      <c r="B12" s="43">
        <v>0</v>
      </c>
      <c r="C12" s="43">
        <v>0</v>
      </c>
      <c r="D12" s="44">
        <v>0</v>
      </c>
      <c r="E12" s="45">
        <v>0</v>
      </c>
      <c r="F12" s="46">
        <v>0</v>
      </c>
      <c r="G12" s="46">
        <v>0</v>
      </c>
      <c r="H12" s="47">
        <v>0</v>
      </c>
    </row>
    <row r="13" spans="1:8" ht="38.1" customHeight="1" thickBot="1" x14ac:dyDescent="0.3">
      <c r="A13" s="74" t="s">
        <v>20</v>
      </c>
      <c r="B13" s="91">
        <f t="shared" ref="B13:H13" si="0">SUM(B6:B12)</f>
        <v>0</v>
      </c>
      <c r="C13" s="88">
        <f t="shared" si="0"/>
        <v>0</v>
      </c>
      <c r="D13" s="92">
        <f t="shared" si="0"/>
        <v>0</v>
      </c>
      <c r="E13" s="93">
        <f t="shared" si="0"/>
        <v>0</v>
      </c>
      <c r="F13" s="94">
        <f t="shared" si="0"/>
        <v>0</v>
      </c>
      <c r="G13" s="94">
        <f t="shared" si="0"/>
        <v>0</v>
      </c>
      <c r="H13" s="95">
        <f t="shared" si="0"/>
        <v>0</v>
      </c>
    </row>
  </sheetData>
  <pageMargins left="0" right="0" top="0.75" bottom="0.75" header="0.3" footer="0.3"/>
  <pageSetup orientation="portrait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13"/>
  <sheetViews>
    <sheetView showGridLines="0" workbookViewId="0">
      <selection activeCell="K12" sqref="K12"/>
    </sheetView>
  </sheetViews>
  <sheetFormatPr defaultRowHeight="15" x14ac:dyDescent="0.25"/>
  <cols>
    <col min="1" max="8" width="12.7109375" customWidth="1"/>
  </cols>
  <sheetData>
    <row r="2" spans="1:8" ht="15.75" x14ac:dyDescent="0.25">
      <c r="C2" s="6" t="s">
        <v>18</v>
      </c>
      <c r="D2" s="7"/>
      <c r="E2" s="7"/>
      <c r="F2" s="7"/>
      <c r="G2" s="7"/>
      <c r="H2" s="7"/>
    </row>
    <row r="3" spans="1:8" ht="20.100000000000001" customHeight="1" x14ac:dyDescent="0.25">
      <c r="A3" s="26" t="s">
        <v>17</v>
      </c>
      <c r="B3" s="2"/>
      <c r="C3" s="104" t="s">
        <v>8</v>
      </c>
      <c r="D3" s="64"/>
      <c r="E3" s="100" t="s">
        <v>4</v>
      </c>
      <c r="F3" s="101" t="s">
        <v>5</v>
      </c>
      <c r="G3" s="102" t="s">
        <v>6</v>
      </c>
      <c r="H3" s="103" t="s">
        <v>7</v>
      </c>
    </row>
    <row r="4" spans="1:8" ht="20.100000000000001" customHeight="1" x14ac:dyDescent="0.25">
      <c r="A4" s="2" t="s">
        <v>24</v>
      </c>
      <c r="B4" s="24" t="s">
        <v>21</v>
      </c>
      <c r="C4" s="25">
        <f>+'1. Cash Flow Summary'!B3</f>
        <v>44254</v>
      </c>
      <c r="D4" s="65"/>
      <c r="E4" s="96">
        <f>C4+7</f>
        <v>44261</v>
      </c>
      <c r="F4" s="84">
        <f>E4+7</f>
        <v>44268</v>
      </c>
      <c r="G4" s="84">
        <f>F4+7</f>
        <v>44275</v>
      </c>
      <c r="H4" s="90">
        <f>G4+7</f>
        <v>44282</v>
      </c>
    </row>
    <row r="5" spans="1:8" ht="20.100000000000001" customHeight="1" x14ac:dyDescent="0.25">
      <c r="A5" s="22" t="s">
        <v>23</v>
      </c>
      <c r="B5" s="23" t="s">
        <v>19</v>
      </c>
      <c r="C5" s="16" t="s">
        <v>1</v>
      </c>
      <c r="D5" s="15" t="s">
        <v>2</v>
      </c>
      <c r="E5" s="3" t="s">
        <v>1</v>
      </c>
      <c r="F5" s="3" t="s">
        <v>1</v>
      </c>
      <c r="G5" s="3" t="s">
        <v>1</v>
      </c>
      <c r="H5" s="17" t="s">
        <v>1</v>
      </c>
    </row>
    <row r="6" spans="1:8" ht="20.100000000000001" customHeight="1" x14ac:dyDescent="0.25">
      <c r="A6" s="49" t="s">
        <v>26</v>
      </c>
      <c r="B6" s="51">
        <v>0</v>
      </c>
      <c r="C6" s="37">
        <v>0</v>
      </c>
      <c r="D6" s="38">
        <v>0</v>
      </c>
      <c r="E6" s="39">
        <v>0</v>
      </c>
      <c r="F6" s="40">
        <v>0</v>
      </c>
      <c r="G6" s="40">
        <v>0</v>
      </c>
      <c r="H6" s="41">
        <v>0</v>
      </c>
    </row>
    <row r="7" spans="1:8" ht="20.100000000000001" customHeight="1" x14ac:dyDescent="0.25">
      <c r="A7" s="50" t="s">
        <v>27</v>
      </c>
      <c r="B7" s="52">
        <v>0</v>
      </c>
      <c r="C7" s="36">
        <v>0</v>
      </c>
      <c r="D7" s="33">
        <v>0</v>
      </c>
      <c r="E7" s="34">
        <v>0</v>
      </c>
      <c r="F7" s="35"/>
      <c r="G7" s="35">
        <v>0</v>
      </c>
      <c r="H7" s="42">
        <v>0</v>
      </c>
    </row>
    <row r="8" spans="1:8" ht="20.100000000000001" customHeight="1" x14ac:dyDescent="0.25">
      <c r="A8" s="11"/>
      <c r="B8" s="66">
        <v>0</v>
      </c>
      <c r="C8" s="36">
        <v>0</v>
      </c>
      <c r="D8" s="33">
        <v>0</v>
      </c>
      <c r="E8" s="34">
        <v>0</v>
      </c>
      <c r="F8" s="35">
        <v>0</v>
      </c>
      <c r="G8" s="35">
        <v>0</v>
      </c>
      <c r="H8" s="42">
        <v>0</v>
      </c>
    </row>
    <row r="9" spans="1:8" ht="20.100000000000001" customHeight="1" x14ac:dyDescent="0.25">
      <c r="A9" s="11"/>
      <c r="B9" s="66">
        <v>0</v>
      </c>
      <c r="C9" s="36">
        <v>0</v>
      </c>
      <c r="D9" s="33">
        <v>0</v>
      </c>
      <c r="E9" s="34">
        <v>0</v>
      </c>
      <c r="F9" s="35">
        <v>0</v>
      </c>
      <c r="G9" s="35">
        <v>0</v>
      </c>
      <c r="H9" s="42">
        <v>0</v>
      </c>
    </row>
    <row r="10" spans="1:8" ht="20.100000000000001" customHeight="1" x14ac:dyDescent="0.25">
      <c r="A10" s="11"/>
      <c r="B10" s="66">
        <v>0</v>
      </c>
      <c r="C10" s="36">
        <v>0</v>
      </c>
      <c r="D10" s="33">
        <v>0</v>
      </c>
      <c r="E10" s="34">
        <v>0</v>
      </c>
      <c r="F10" s="35">
        <v>0</v>
      </c>
      <c r="G10" s="35">
        <v>0</v>
      </c>
      <c r="H10" s="42">
        <v>0</v>
      </c>
    </row>
    <row r="11" spans="1:8" ht="20.100000000000001" customHeight="1" x14ac:dyDescent="0.25">
      <c r="A11" s="11"/>
      <c r="B11" s="66">
        <v>0</v>
      </c>
      <c r="C11" s="36">
        <v>0</v>
      </c>
      <c r="D11" s="33">
        <v>0</v>
      </c>
      <c r="E11" s="34">
        <v>0</v>
      </c>
      <c r="F11" s="35">
        <v>0</v>
      </c>
      <c r="G11" s="35">
        <v>0</v>
      </c>
      <c r="H11" s="42">
        <v>0</v>
      </c>
    </row>
    <row r="12" spans="1:8" ht="20.100000000000001" customHeight="1" thickBot="1" x14ac:dyDescent="0.3">
      <c r="A12" s="21"/>
      <c r="B12" s="67">
        <v>0</v>
      </c>
      <c r="C12" s="43">
        <v>0</v>
      </c>
      <c r="D12" s="44">
        <v>0</v>
      </c>
      <c r="E12" s="45">
        <v>0</v>
      </c>
      <c r="F12" s="46">
        <v>0</v>
      </c>
      <c r="G12" s="46">
        <v>0</v>
      </c>
      <c r="H12" s="47">
        <v>0</v>
      </c>
    </row>
    <row r="13" spans="1:8" ht="38.1" customHeight="1" thickBot="1" x14ac:dyDescent="0.3">
      <c r="A13" s="74" t="s">
        <v>20</v>
      </c>
      <c r="B13" s="97">
        <f t="shared" ref="B13:H13" si="0">SUM(B6:B12)</f>
        <v>0</v>
      </c>
      <c r="C13" s="88">
        <f t="shared" si="0"/>
        <v>0</v>
      </c>
      <c r="D13" s="92">
        <f t="shared" si="0"/>
        <v>0</v>
      </c>
      <c r="E13" s="93">
        <f t="shared" si="0"/>
        <v>0</v>
      </c>
      <c r="F13" s="94">
        <f t="shared" si="0"/>
        <v>0</v>
      </c>
      <c r="G13" s="94">
        <f t="shared" si="0"/>
        <v>0</v>
      </c>
      <c r="H13" s="95">
        <f t="shared" si="0"/>
        <v>0</v>
      </c>
    </row>
  </sheetData>
  <pageMargins left="0" right="0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Title </vt:lpstr>
      <vt:lpstr>1. Cash Flow Summary</vt:lpstr>
      <vt:lpstr>2. Accounts Receivable</vt:lpstr>
      <vt:lpstr>3. Accounts Payable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Woody92660</dc:creator>
  <cp:lastModifiedBy>Rob Belfield</cp:lastModifiedBy>
  <cp:lastPrinted>2021-02-24T23:21:51Z</cp:lastPrinted>
  <dcterms:created xsi:type="dcterms:W3CDTF">2021-02-24T17:00:02Z</dcterms:created>
  <dcterms:modified xsi:type="dcterms:W3CDTF">2026-04-07T20:48:18Z</dcterms:modified>
</cp:coreProperties>
</file>