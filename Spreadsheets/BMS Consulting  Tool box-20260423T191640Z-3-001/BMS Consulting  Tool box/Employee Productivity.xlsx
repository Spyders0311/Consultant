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e\OneDrive\Desktop\BMS Files\BMS Consulting  Tool box\"/>
    </mc:Choice>
  </mc:AlternateContent>
  <xr:revisionPtr revIDLastSave="0" documentId="13_ncr:1_{9FEC11E3-5886-481F-B864-77DD3A179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F19" i="1"/>
  <c r="D19" i="1"/>
  <c r="B17" i="1"/>
  <c r="B21" i="1" s="1"/>
  <c r="B23" i="1" s="1"/>
  <c r="H16" i="1"/>
  <c r="F16" i="1"/>
  <c r="D16" i="1"/>
  <c r="H15" i="1"/>
  <c r="F15" i="1"/>
  <c r="D15" i="1"/>
  <c r="H13" i="1"/>
  <c r="F13" i="1"/>
  <c r="D13" i="1"/>
  <c r="B13" i="1"/>
  <c r="J11" i="1"/>
  <c r="J8" i="1"/>
  <c r="J19" i="1" s="1"/>
  <c r="F17" i="1" l="1"/>
  <c r="F21" i="1" s="1"/>
  <c r="F23" i="1" s="1"/>
  <c r="F25" i="1" s="1"/>
  <c r="B25" i="1"/>
  <c r="D17" i="1"/>
  <c r="D21" i="1" s="1"/>
  <c r="D23" i="1" s="1"/>
  <c r="H17" i="1"/>
  <c r="H21" i="1" s="1"/>
  <c r="H23" i="1" s="1"/>
  <c r="H25" i="1" s="1"/>
  <c r="D25" i="1" l="1"/>
  <c r="J23" i="1"/>
  <c r="J25" i="1" s="1"/>
  <c r="J27" i="1" s="1"/>
</calcChain>
</file>

<file path=xl/sharedStrings.xml><?xml version="1.0" encoding="utf-8"?>
<sst xmlns="http://schemas.openxmlformats.org/spreadsheetml/2006/main" count="39" uniqueCount="26">
  <si>
    <t>Productivity Report</t>
  </si>
  <si>
    <t xml:space="preserve">Job#: </t>
  </si>
  <si>
    <t>Date :</t>
  </si>
  <si>
    <t xml:space="preserve"># EMP </t>
  </si>
  <si>
    <t>#EMP</t>
  </si>
  <si>
    <t>TOTAL</t>
  </si>
  <si>
    <t>First Quarter</t>
  </si>
  <si>
    <t>Second Quarter</t>
  </si>
  <si>
    <t>Third Quarter</t>
  </si>
  <si>
    <t>Fourth Quarter</t>
  </si>
  <si>
    <t>Average</t>
  </si>
  <si>
    <t>Revenue</t>
  </si>
  <si>
    <t>Annual</t>
  </si>
  <si>
    <t>$ Per Emp</t>
  </si>
  <si>
    <t xml:space="preserve">2nd Lowest Quarter $ per Emp </t>
  </si>
  <si>
    <t xml:space="preserve">2nd Highest Quarter $ per Emp </t>
  </si>
  <si>
    <t>Average Quarter $ per Emp</t>
  </si>
  <si>
    <t>Total Potential Revenue</t>
  </si>
  <si>
    <t>Highest Quarter $ per Emp</t>
  </si>
  <si>
    <t>VARIANCE</t>
  </si>
  <si>
    <t xml:space="preserve">Total Annual $ Lost </t>
  </si>
  <si>
    <t>LOST PRODUCTIVITY $</t>
  </si>
  <si>
    <t>AVG Lost % Per Quarter</t>
  </si>
  <si>
    <t>LOST PRODUCTIVITY %</t>
  </si>
  <si>
    <t xml:space="preserve">      TOTAL PRODUCTIVITY</t>
  </si>
  <si>
    <t>Client: T&amp;W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</si>
</sst>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Verdana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Protection="1">
      <protection locked="0"/>
    </xf>
    <xf numFmtId="0" fontId="3" fillId="3" borderId="0" xfId="0" applyFont="1" applyFill="1" applyProtection="1">
      <protection locked="0"/>
    </xf>
    <xf numFmtId="0" fontId="3" fillId="3" borderId="0" xfId="0" applyFont="1" applyFill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1" fontId="4" fillId="0" borderId="4" xfId="0" applyNumberFormat="1" applyFont="1" applyBorder="1" applyAlignment="1">
      <alignment horizontal="left"/>
    </xf>
    <xf numFmtId="1" fontId="1" fillId="4" borderId="5" xfId="0" applyNumberFormat="1" applyFont="1" applyFill="1" applyBorder="1" applyAlignment="1" applyProtection="1">
      <alignment horizontal="center"/>
      <protection locked="0"/>
    </xf>
    <xf numFmtId="1" fontId="1" fillId="0" borderId="6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164" fontId="1" fillId="4" borderId="8" xfId="0" applyNumberFormat="1" applyFont="1" applyFill="1" applyBorder="1" applyAlignment="1" applyProtection="1">
      <alignment horizontal="center"/>
      <protection locked="0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9" xfId="0" applyFont="1" applyBorder="1"/>
    <xf numFmtId="0" fontId="4" fillId="5" borderId="10" xfId="0" applyFont="1" applyFill="1" applyBorder="1" applyAlignment="1">
      <alignment horizontal="right"/>
    </xf>
    <xf numFmtId="0" fontId="4" fillId="0" borderId="0" xfId="0" applyFont="1"/>
    <xf numFmtId="164" fontId="4" fillId="0" borderId="4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center"/>
    </xf>
    <xf numFmtId="0" fontId="1" fillId="5" borderId="11" xfId="0" applyFont="1" applyFill="1" applyBorder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/>
    <xf numFmtId="164" fontId="1" fillId="4" borderId="5" xfId="0" applyNumberFormat="1" applyFont="1" applyFill="1" applyBorder="1" applyAlignment="1" applyProtection="1">
      <alignment horizontal="center"/>
      <protection locked="0"/>
    </xf>
    <xf numFmtId="164" fontId="1" fillId="5" borderId="11" xfId="0" applyNumberFormat="1" applyFont="1" applyFill="1" applyBorder="1" applyAlignment="1">
      <alignment horizontal="right"/>
    </xf>
    <xf numFmtId="164" fontId="1" fillId="5" borderId="12" xfId="0" applyNumberFormat="1" applyFont="1" applyFill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right"/>
    </xf>
    <xf numFmtId="10" fontId="4" fillId="0" borderId="5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10" fontId="5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2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8" fillId="0" borderId="18" xfId="0" applyFont="1" applyBorder="1"/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0" fontId="7" fillId="0" borderId="15" xfId="0" applyNumberFormat="1" applyFont="1" applyBorder="1" applyAlignment="1">
      <alignment horizontal="center"/>
    </xf>
    <xf numFmtId="165" fontId="0" fillId="2" borderId="0" xfId="0" applyNumberForma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zoomScaleNormal="100" workbookViewId="0">
      <selection activeCell="D45" sqref="D45"/>
    </sheetView>
  </sheetViews>
  <sheetFormatPr defaultRowHeight="14.4" x14ac:dyDescent="0.3"/>
  <cols>
    <col min="1" max="1" width="31.44140625" customWidth="1"/>
    <col min="2" max="2" width="12.33203125"/>
    <col min="3" max="3" width="1.5546875" customWidth="1"/>
    <col min="4" max="4" width="14.109375" customWidth="1"/>
    <col min="5" max="5" width="1.44140625" customWidth="1"/>
    <col min="6" max="6" width="13.33203125" customWidth="1"/>
    <col min="7" max="7" width="1.44140625" customWidth="1"/>
    <col min="8" max="8" width="13.88671875" customWidth="1"/>
    <col min="9" max="9" width="7.5546875" customWidth="1"/>
    <col min="10" max="10" width="28.33203125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.399999999999999" x14ac:dyDescent="0.3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</row>
    <row r="4" spans="1:11" x14ac:dyDescent="0.3">
      <c r="A4" s="62" t="s">
        <v>25</v>
      </c>
      <c r="B4" s="62"/>
      <c r="C4" s="4"/>
      <c r="D4" s="5" t="s">
        <v>1</v>
      </c>
      <c r="E4" s="4"/>
      <c r="F4" s="3"/>
      <c r="G4" s="4"/>
      <c r="H4" s="5" t="s">
        <v>2</v>
      </c>
      <c r="I4" s="61">
        <v>46058</v>
      </c>
      <c r="J4" s="61"/>
      <c r="K4" s="6"/>
    </row>
    <row r="5" spans="1:11" ht="1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7"/>
      <c r="B6" s="58" t="s">
        <v>3</v>
      </c>
      <c r="C6" s="59"/>
      <c r="D6" s="58" t="s">
        <v>4</v>
      </c>
      <c r="E6" s="59"/>
      <c r="F6" s="58" t="s">
        <v>4</v>
      </c>
      <c r="G6" s="59"/>
      <c r="H6" s="58" t="s">
        <v>4</v>
      </c>
      <c r="I6" s="8"/>
      <c r="J6" s="9" t="s">
        <v>5</v>
      </c>
      <c r="K6" s="10"/>
    </row>
    <row r="7" spans="1:11" x14ac:dyDescent="0.3">
      <c r="A7" s="11"/>
      <c r="B7" s="12" t="s">
        <v>6</v>
      </c>
      <c r="C7" s="13"/>
      <c r="D7" s="12" t="s">
        <v>7</v>
      </c>
      <c r="E7" s="13"/>
      <c r="F7" s="12" t="s">
        <v>8</v>
      </c>
      <c r="G7" s="13"/>
      <c r="H7" s="12" t="s">
        <v>9</v>
      </c>
      <c r="I7" s="14"/>
      <c r="J7" s="55" t="s">
        <v>10</v>
      </c>
      <c r="K7" s="1"/>
    </row>
    <row r="8" spans="1:11" x14ac:dyDescent="0.3">
      <c r="A8" s="15"/>
      <c r="B8" s="16">
        <v>18</v>
      </c>
      <c r="C8" s="17"/>
      <c r="D8" s="16">
        <v>25</v>
      </c>
      <c r="E8" s="17"/>
      <c r="F8" s="16">
        <v>24</v>
      </c>
      <c r="G8" s="17"/>
      <c r="H8" s="16">
        <v>22</v>
      </c>
      <c r="I8" s="17"/>
      <c r="J8" s="56">
        <f>SUM(B8:H8)/4</f>
        <v>22.25</v>
      </c>
      <c r="K8" s="18"/>
    </row>
    <row r="9" spans="1:11" x14ac:dyDescent="0.3">
      <c r="A9" s="11"/>
      <c r="B9" s="19" t="s">
        <v>11</v>
      </c>
      <c r="C9" s="20"/>
      <c r="D9" s="19" t="s">
        <v>11</v>
      </c>
      <c r="E9" s="20"/>
      <c r="F9" s="19" t="s">
        <v>11</v>
      </c>
      <c r="G9" s="20"/>
      <c r="H9" s="19" t="s">
        <v>11</v>
      </c>
      <c r="I9" s="20"/>
      <c r="J9" s="21" t="s">
        <v>5</v>
      </c>
      <c r="K9" s="10"/>
    </row>
    <row r="10" spans="1:11" x14ac:dyDescent="0.3">
      <c r="A10" s="11"/>
      <c r="B10" s="12" t="s">
        <v>6</v>
      </c>
      <c r="C10" s="13"/>
      <c r="D10" s="12" t="s">
        <v>7</v>
      </c>
      <c r="E10" s="13"/>
      <c r="F10" s="12" t="s">
        <v>8</v>
      </c>
      <c r="G10" s="13"/>
      <c r="H10" s="12" t="s">
        <v>9</v>
      </c>
      <c r="I10" s="14"/>
      <c r="J10" s="55" t="s">
        <v>12</v>
      </c>
      <c r="K10" s="1"/>
    </row>
    <row r="11" spans="1:11" ht="15" thickBot="1" x14ac:dyDescent="0.35">
      <c r="A11" s="22"/>
      <c r="B11" s="23">
        <v>250000</v>
      </c>
      <c r="C11" s="24"/>
      <c r="D11" s="23">
        <v>250000</v>
      </c>
      <c r="E11" s="24"/>
      <c r="F11" s="23">
        <v>250000</v>
      </c>
      <c r="G11" s="24"/>
      <c r="H11" s="23">
        <v>250000</v>
      </c>
      <c r="I11" s="13"/>
      <c r="J11" s="57">
        <f>SUM(B11:H11)</f>
        <v>1000000</v>
      </c>
      <c r="K11" s="25"/>
    </row>
    <row r="12" spans="1:11" x14ac:dyDescent="0.3">
      <c r="A12" s="7"/>
      <c r="B12" s="26" t="s">
        <v>13</v>
      </c>
      <c r="C12" s="27"/>
      <c r="D12" s="26" t="s">
        <v>13</v>
      </c>
      <c r="E12" s="27"/>
      <c r="F12" s="26" t="s">
        <v>13</v>
      </c>
      <c r="G12" s="27"/>
      <c r="H12" s="26" t="s">
        <v>13</v>
      </c>
      <c r="I12" s="28"/>
      <c r="J12" s="29"/>
      <c r="K12" s="30"/>
    </row>
    <row r="13" spans="1:11" x14ac:dyDescent="0.3">
      <c r="A13" s="31"/>
      <c r="B13" s="32">
        <f>SUM(B11/B8)</f>
        <v>13888.888888888889</v>
      </c>
      <c r="C13" s="14"/>
      <c r="D13" s="32">
        <f>SUM(D11/D8)</f>
        <v>10000</v>
      </c>
      <c r="E13" s="14"/>
      <c r="F13" s="32">
        <f>SUM(F11/F8)</f>
        <v>10416.666666666666</v>
      </c>
      <c r="G13" s="14"/>
      <c r="H13" s="32">
        <f>SUM(H11/H8)</f>
        <v>11363.636363636364</v>
      </c>
      <c r="I13" s="1"/>
      <c r="J13" s="33"/>
      <c r="K13" s="34"/>
    </row>
    <row r="14" spans="1:11" x14ac:dyDescent="0.3">
      <c r="A14" s="11"/>
      <c r="B14" s="35"/>
      <c r="C14" s="14"/>
      <c r="D14" s="35"/>
      <c r="E14" s="14"/>
      <c r="F14" s="35"/>
      <c r="G14" s="14"/>
      <c r="H14" s="35"/>
      <c r="I14" s="1"/>
      <c r="J14" s="33"/>
      <c r="K14" s="1"/>
    </row>
    <row r="15" spans="1:11" x14ac:dyDescent="0.3">
      <c r="A15" s="31" t="s">
        <v>14</v>
      </c>
      <c r="B15" s="36">
        <v>10417</v>
      </c>
      <c r="C15" s="24"/>
      <c r="D15" s="32">
        <f>SUM(B15)</f>
        <v>10417</v>
      </c>
      <c r="E15" s="24"/>
      <c r="F15" s="32">
        <f>SUM(B15)</f>
        <v>10417</v>
      </c>
      <c r="G15" s="24"/>
      <c r="H15" s="32">
        <f>SUM(B15)</f>
        <v>10417</v>
      </c>
      <c r="I15" s="34"/>
      <c r="J15" s="37"/>
      <c r="K15" s="34"/>
    </row>
    <row r="16" spans="1:11" ht="15" thickBot="1" x14ac:dyDescent="0.35">
      <c r="A16" s="31" t="s">
        <v>15</v>
      </c>
      <c r="B16" s="36">
        <v>11364</v>
      </c>
      <c r="C16" s="24"/>
      <c r="D16" s="32">
        <f>SUM(B16:C16)</f>
        <v>11364</v>
      </c>
      <c r="E16" s="24"/>
      <c r="F16" s="32">
        <f>SUM(B16)</f>
        <v>11364</v>
      </c>
      <c r="G16" s="24"/>
      <c r="H16" s="32">
        <f>SUM(B16)</f>
        <v>11364</v>
      </c>
      <c r="I16" s="34"/>
      <c r="J16" s="38"/>
      <c r="K16" s="34"/>
    </row>
    <row r="17" spans="1:11" x14ac:dyDescent="0.3">
      <c r="A17" s="31" t="s">
        <v>16</v>
      </c>
      <c r="B17" s="32">
        <f>SUM(B15:B16)/2</f>
        <v>10890.5</v>
      </c>
      <c r="C17" s="24"/>
      <c r="D17" s="32">
        <f>SUM(B17)</f>
        <v>10890.5</v>
      </c>
      <c r="E17" s="24"/>
      <c r="F17" s="32">
        <f>SUM(B17)</f>
        <v>10890.5</v>
      </c>
      <c r="G17" s="24"/>
      <c r="H17" s="32">
        <f>SUM(B17)</f>
        <v>10890.5</v>
      </c>
      <c r="I17" s="34"/>
      <c r="J17" s="39"/>
      <c r="K17" s="34"/>
    </row>
    <row r="18" spans="1:11" ht="15.6" x14ac:dyDescent="0.3">
      <c r="A18" s="11"/>
      <c r="B18" s="12"/>
      <c r="C18" s="13"/>
      <c r="D18" s="12"/>
      <c r="E18" s="13"/>
      <c r="F18" s="12"/>
      <c r="G18" s="13"/>
      <c r="H18" s="12"/>
      <c r="I18" s="25"/>
      <c r="J18" s="40" t="s">
        <v>17</v>
      </c>
      <c r="K18" s="25"/>
    </row>
    <row r="19" spans="1:11" ht="15.6" x14ac:dyDescent="0.3">
      <c r="A19" s="11" t="s">
        <v>18</v>
      </c>
      <c r="B19" s="36">
        <v>13889</v>
      </c>
      <c r="C19" s="13"/>
      <c r="D19" s="32">
        <f>SUM(B19)</f>
        <v>13889</v>
      </c>
      <c r="E19" s="13"/>
      <c r="F19" s="32">
        <f>SUM(B19)</f>
        <v>13889</v>
      </c>
      <c r="G19" s="13"/>
      <c r="H19" s="32">
        <f>SUM(B19)</f>
        <v>13889</v>
      </c>
      <c r="I19" s="25"/>
      <c r="J19" s="41">
        <f>SUM(B19:H19)*J8</f>
        <v>1236121</v>
      </c>
      <c r="K19" s="25"/>
    </row>
    <row r="20" spans="1:11" ht="15.6" x14ac:dyDescent="0.3">
      <c r="A20" s="11"/>
      <c r="B20" s="12"/>
      <c r="C20" s="13"/>
      <c r="D20" s="12"/>
      <c r="E20" s="13"/>
      <c r="F20" s="12"/>
      <c r="G20" s="13"/>
      <c r="H20" s="12"/>
      <c r="I20" s="25"/>
      <c r="J20" s="42"/>
      <c r="K20" s="25"/>
    </row>
    <row r="21" spans="1:11" ht="15.6" x14ac:dyDescent="0.3">
      <c r="A21" s="11" t="s">
        <v>19</v>
      </c>
      <c r="B21" s="32">
        <f>SUM(B19-B17)</f>
        <v>2998.5</v>
      </c>
      <c r="C21" s="13"/>
      <c r="D21" s="32">
        <f>SUM(D19-D17)</f>
        <v>2998.5</v>
      </c>
      <c r="E21" s="13"/>
      <c r="F21" s="32">
        <f>SUM(F19-F17)</f>
        <v>2998.5</v>
      </c>
      <c r="G21" s="13"/>
      <c r="H21" s="32">
        <f>SUM(H19-H17)</f>
        <v>2998.5</v>
      </c>
      <c r="I21" s="25"/>
      <c r="J21" s="42"/>
      <c r="K21" s="25"/>
    </row>
    <row r="22" spans="1:11" ht="15.6" x14ac:dyDescent="0.3">
      <c r="A22" s="11"/>
      <c r="B22" s="12"/>
      <c r="C22" s="13"/>
      <c r="D22" s="12"/>
      <c r="E22" s="13"/>
      <c r="F22" s="12"/>
      <c r="G22" s="13"/>
      <c r="H22" s="12"/>
      <c r="I22" s="25"/>
      <c r="J22" s="40" t="s">
        <v>20</v>
      </c>
      <c r="K22" s="25"/>
    </row>
    <row r="23" spans="1:11" ht="15.6" x14ac:dyDescent="0.3">
      <c r="A23" s="11" t="s">
        <v>21</v>
      </c>
      <c r="B23" s="32">
        <f>SUM(B21*B8)</f>
        <v>53973</v>
      </c>
      <c r="C23" s="13"/>
      <c r="D23" s="32">
        <f>SUM(D21*D8)</f>
        <v>74962.5</v>
      </c>
      <c r="E23" s="13"/>
      <c r="F23" s="32">
        <f>SUM(F21*F8)</f>
        <v>71964</v>
      </c>
      <c r="G23" s="13"/>
      <c r="H23" s="32">
        <f>SUM(H21*H8)</f>
        <v>65967</v>
      </c>
      <c r="I23" s="25"/>
      <c r="J23" s="41">
        <f>SUM(B23:H23)</f>
        <v>266866.5</v>
      </c>
      <c r="K23" s="25"/>
    </row>
    <row r="24" spans="1:11" ht="15.6" x14ac:dyDescent="0.3">
      <c r="A24" s="11"/>
      <c r="B24" s="35"/>
      <c r="C24" s="14"/>
      <c r="D24" s="35"/>
      <c r="E24" s="13"/>
      <c r="F24" s="35"/>
      <c r="G24" s="13"/>
      <c r="H24" s="35"/>
      <c r="I24" s="1"/>
      <c r="J24" s="40" t="s">
        <v>22</v>
      </c>
      <c r="K24" s="1"/>
    </row>
    <row r="25" spans="1:11" ht="15.6" x14ac:dyDescent="0.3">
      <c r="A25" s="11" t="s">
        <v>23</v>
      </c>
      <c r="B25" s="43">
        <f>SUM(B23/B11)</f>
        <v>0.215892</v>
      </c>
      <c r="C25" s="44"/>
      <c r="D25" s="43">
        <f>SUM(D23/D11)</f>
        <v>0.29985000000000001</v>
      </c>
      <c r="E25" s="44"/>
      <c r="F25" s="43">
        <f>SUM(F23/F11)</f>
        <v>0.287856</v>
      </c>
      <c r="G25" s="44"/>
      <c r="H25" s="43">
        <f>SUM(H23/H11)</f>
        <v>0.26386799999999999</v>
      </c>
      <c r="I25" s="1"/>
      <c r="J25" s="45">
        <f>SUM(J23/J11)</f>
        <v>0.26686650000000001</v>
      </c>
      <c r="K25" s="1"/>
    </row>
    <row r="26" spans="1:11" ht="15" thickBot="1" x14ac:dyDescent="0.35">
      <c r="A26" s="46"/>
      <c r="B26" s="47"/>
      <c r="C26" s="48"/>
      <c r="D26" s="47"/>
      <c r="E26" s="48"/>
      <c r="F26" s="47"/>
      <c r="G26" s="48"/>
      <c r="H26" s="47"/>
      <c r="I26" s="49"/>
      <c r="J26" s="50"/>
      <c r="K26" s="1"/>
    </row>
    <row r="27" spans="1:11" ht="18.600000000000001" thickBot="1" x14ac:dyDescent="0.4">
      <c r="A27" s="51"/>
      <c r="B27" s="1"/>
      <c r="C27" s="1"/>
      <c r="D27" s="1"/>
      <c r="E27" s="1"/>
      <c r="F27" s="52" t="s">
        <v>24</v>
      </c>
      <c r="G27" s="53"/>
      <c r="H27" s="53"/>
      <c r="I27" s="54"/>
      <c r="J27" s="60">
        <f>SUM(100%-J25)</f>
        <v>0.73313349999999999</v>
      </c>
      <c r="K27" s="1"/>
    </row>
  </sheetData>
  <sheetProtection password="CA25" sheet="1" objects="1" scenarios="1"/>
  <mergeCells count="2">
    <mergeCell ref="I4:J4"/>
    <mergeCell ref="A4:B4"/>
  </mergeCells>
  <pageMargins left="0.7" right="0.7" top="0.75" bottom="0.75" header="0.3" footer="0.3"/>
  <pageSetup orientation="portrait" r:id="rId1"/>
  <headerFooter>
    <oddHeader>&amp;C&amp;G</oddHeader>
    <oddFooter>&amp;Cwww.belfieldinc.com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Jameson</dc:creator>
  <cp:lastModifiedBy>Robert Belfield</cp:lastModifiedBy>
  <dcterms:created xsi:type="dcterms:W3CDTF">2012-01-14T04:35:49Z</dcterms:created>
  <dcterms:modified xsi:type="dcterms:W3CDTF">2026-02-19T17:55:49Z</dcterms:modified>
</cp:coreProperties>
</file>