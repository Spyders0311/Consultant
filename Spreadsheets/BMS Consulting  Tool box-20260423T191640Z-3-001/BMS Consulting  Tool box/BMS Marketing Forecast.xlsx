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b0252ba3483248/Desktop/"/>
    </mc:Choice>
  </mc:AlternateContent>
  <xr:revisionPtr revIDLastSave="0" documentId="8_{C2A4F8F9-18B4-4BCA-90F7-972A416EA61E}" xr6:coauthVersionLast="47" xr6:coauthVersionMax="47" xr10:uidLastSave="{00000000-0000-0000-0000-000000000000}"/>
  <bookViews>
    <workbookView xWindow="-108" yWindow="-108" windowWidth="23256" windowHeight="12456" tabRatio="798" xr2:uid="{C6B6A639-D368-4FD4-99D6-6A4F8A81E234}"/>
  </bookViews>
  <sheets>
    <sheet name="FE Sales YR 1" sheetId="1" r:id="rId1"/>
    <sheet name="FE Sales YR 2" sheetId="2" r:id="rId2"/>
    <sheet name="FE Sales YR 3" sheetId="5" r:id="rId3"/>
    <sheet name="FE Sales YR 4" sheetId="6" r:id="rId4"/>
    <sheet name="FE Sales YR 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7" l="1"/>
  <c r="H38" i="7"/>
  <c r="C38" i="7"/>
  <c r="N37" i="7"/>
  <c r="M36" i="7"/>
  <c r="L36" i="7"/>
  <c r="K36" i="7"/>
  <c r="J36" i="7"/>
  <c r="I36" i="7"/>
  <c r="H36" i="7"/>
  <c r="G36" i="7"/>
  <c r="F36" i="7"/>
  <c r="E36" i="7"/>
  <c r="D36" i="7"/>
  <c r="C36" i="7"/>
  <c r="H39" i="6"/>
  <c r="H38" i="6"/>
  <c r="C38" i="6"/>
  <c r="N38" i="6" s="1"/>
  <c r="N37" i="6"/>
  <c r="M36" i="6"/>
  <c r="L36" i="6"/>
  <c r="K36" i="6"/>
  <c r="J36" i="6"/>
  <c r="I36" i="6"/>
  <c r="H36" i="6"/>
  <c r="G36" i="6"/>
  <c r="F36" i="6"/>
  <c r="E36" i="6"/>
  <c r="D36" i="6"/>
  <c r="C36" i="6"/>
  <c r="H39" i="5"/>
  <c r="H38" i="5"/>
  <c r="C38" i="5"/>
  <c r="N37" i="5"/>
  <c r="M36" i="5"/>
  <c r="L36" i="5"/>
  <c r="K36" i="5"/>
  <c r="J36" i="5"/>
  <c r="I36" i="5"/>
  <c r="H36" i="5"/>
  <c r="G36" i="5"/>
  <c r="F36" i="5"/>
  <c r="E36" i="5"/>
  <c r="D36" i="5"/>
  <c r="C36" i="5"/>
  <c r="C36" i="2"/>
  <c r="D36" i="2"/>
  <c r="E36" i="2"/>
  <c r="F36" i="2"/>
  <c r="G36" i="2"/>
  <c r="I36" i="2"/>
  <c r="J36" i="2"/>
  <c r="K36" i="2"/>
  <c r="L36" i="2"/>
  <c r="M36" i="2"/>
  <c r="H39" i="2"/>
  <c r="H38" i="2"/>
  <c r="C38" i="2"/>
  <c r="N37" i="2"/>
  <c r="H36" i="2"/>
  <c r="C14" i="1"/>
  <c r="C19" i="1" s="1"/>
  <c r="C13" i="1"/>
  <c r="B13" i="1"/>
  <c r="B66" i="1" s="1"/>
  <c r="C13" i="2"/>
  <c r="D13" i="1"/>
  <c r="D34" i="1" s="1"/>
  <c r="D36" i="1"/>
  <c r="E36" i="1"/>
  <c r="F36" i="1"/>
  <c r="G36" i="1"/>
  <c r="H36" i="1"/>
  <c r="I36" i="1"/>
  <c r="J36" i="1"/>
  <c r="K36" i="1"/>
  <c r="L36" i="1"/>
  <c r="M36" i="1"/>
  <c r="C36" i="1"/>
  <c r="H39" i="1"/>
  <c r="C38" i="1"/>
  <c r="H38" i="1"/>
  <c r="B40" i="1"/>
  <c r="C39" i="1"/>
  <c r="D39" i="1"/>
  <c r="E39" i="1"/>
  <c r="F39" i="1"/>
  <c r="G39" i="1"/>
  <c r="B39" i="1"/>
  <c r="B38" i="1"/>
  <c r="N37" i="1"/>
  <c r="B19" i="1"/>
  <c r="M14" i="1"/>
  <c r="L14" i="1"/>
  <c r="K14" i="1"/>
  <c r="J14" i="1"/>
  <c r="I14" i="1"/>
  <c r="H14" i="1"/>
  <c r="G14" i="1"/>
  <c r="F14" i="1"/>
  <c r="E14" i="1"/>
  <c r="D14" i="1"/>
  <c r="F29" i="1"/>
  <c r="B27" i="1"/>
  <c r="I14" i="6"/>
  <c r="I13" i="6"/>
  <c r="H14" i="6"/>
  <c r="H19" i="6" s="1"/>
  <c r="H13" i="6"/>
  <c r="I14" i="5"/>
  <c r="I19" i="5" s="1"/>
  <c r="I13" i="5"/>
  <c r="H14" i="5"/>
  <c r="H13" i="5"/>
  <c r="I14" i="2"/>
  <c r="I19" i="2" s="1"/>
  <c r="I13" i="2"/>
  <c r="I34" i="2" s="1"/>
  <c r="H14" i="2"/>
  <c r="H19" i="2" s="1"/>
  <c r="H13" i="2"/>
  <c r="H34" i="2" s="1"/>
  <c r="E13" i="1"/>
  <c r="C14" i="5"/>
  <c r="C19" i="5" s="1"/>
  <c r="D14" i="5"/>
  <c r="D19" i="5" s="1"/>
  <c r="E14" i="5"/>
  <c r="E19" i="5" s="1"/>
  <c r="F14" i="5"/>
  <c r="F19" i="5" s="1"/>
  <c r="G14" i="5"/>
  <c r="G19" i="5" s="1"/>
  <c r="J14" i="5"/>
  <c r="J19" i="5" s="1"/>
  <c r="K14" i="5"/>
  <c r="K19" i="5" s="1"/>
  <c r="L14" i="5"/>
  <c r="L19" i="5" s="1"/>
  <c r="M14" i="5"/>
  <c r="M19" i="5" s="1"/>
  <c r="C13" i="5"/>
  <c r="C18" i="5" s="1"/>
  <c r="D13" i="5"/>
  <c r="D34" i="5" s="1"/>
  <c r="E13" i="5"/>
  <c r="E34" i="5" s="1"/>
  <c r="F13" i="5"/>
  <c r="F34" i="5" s="1"/>
  <c r="G13" i="5"/>
  <c r="G34" i="5" s="1"/>
  <c r="J13" i="5"/>
  <c r="K13" i="5"/>
  <c r="K18" i="5" s="1"/>
  <c r="L13" i="5"/>
  <c r="L18" i="5" s="1"/>
  <c r="M13" i="5"/>
  <c r="C14" i="7"/>
  <c r="C19" i="7" s="1"/>
  <c r="D14" i="7"/>
  <c r="D19" i="7" s="1"/>
  <c r="E14" i="7"/>
  <c r="E19" i="7" s="1"/>
  <c r="F14" i="7"/>
  <c r="F19" i="7" s="1"/>
  <c r="G14" i="7"/>
  <c r="G19" i="7" s="1"/>
  <c r="H14" i="7"/>
  <c r="H19" i="7" s="1"/>
  <c r="I14" i="7"/>
  <c r="I19" i="7" s="1"/>
  <c r="J14" i="7"/>
  <c r="J19" i="7" s="1"/>
  <c r="K14" i="7"/>
  <c r="K19" i="7" s="1"/>
  <c r="L14" i="7"/>
  <c r="L19" i="7" s="1"/>
  <c r="M14" i="7"/>
  <c r="M19" i="7" s="1"/>
  <c r="C13" i="7"/>
  <c r="D13" i="7"/>
  <c r="E13" i="7"/>
  <c r="F13" i="7"/>
  <c r="F18" i="7" s="1"/>
  <c r="G13" i="7"/>
  <c r="G34" i="7" s="1"/>
  <c r="H13" i="7"/>
  <c r="I13" i="7"/>
  <c r="I18" i="7" s="1"/>
  <c r="J13" i="7"/>
  <c r="K13" i="7"/>
  <c r="L13" i="7"/>
  <c r="M13" i="7"/>
  <c r="M34" i="7" s="1"/>
  <c r="C14" i="6"/>
  <c r="C19" i="6" s="1"/>
  <c r="D14" i="6"/>
  <c r="D19" i="6" s="1"/>
  <c r="E14" i="6"/>
  <c r="F14" i="6"/>
  <c r="F19" i="6" s="1"/>
  <c r="G14" i="6"/>
  <c r="G19" i="6" s="1"/>
  <c r="J14" i="6"/>
  <c r="J19" i="6" s="1"/>
  <c r="K14" i="6"/>
  <c r="K19" i="6" s="1"/>
  <c r="L14" i="6"/>
  <c r="L19" i="6" s="1"/>
  <c r="M14" i="6"/>
  <c r="M19" i="6" s="1"/>
  <c r="C13" i="6"/>
  <c r="C34" i="6" s="1"/>
  <c r="D13" i="6"/>
  <c r="D34" i="6" s="1"/>
  <c r="E13" i="6"/>
  <c r="F13" i="6"/>
  <c r="G13" i="6"/>
  <c r="J13" i="6"/>
  <c r="J18" i="6" s="1"/>
  <c r="K13" i="6"/>
  <c r="L13" i="6"/>
  <c r="L34" i="6" s="1"/>
  <c r="M13" i="6"/>
  <c r="M34" i="6" s="1"/>
  <c r="D31" i="2"/>
  <c r="F33" i="2"/>
  <c r="G30" i="2"/>
  <c r="M33" i="7"/>
  <c r="L33" i="7"/>
  <c r="K33" i="7"/>
  <c r="J33" i="7"/>
  <c r="I33" i="7"/>
  <c r="H33" i="7"/>
  <c r="G33" i="7"/>
  <c r="F33" i="7"/>
  <c r="E33" i="7"/>
  <c r="D33" i="7"/>
  <c r="C33" i="7"/>
  <c r="M32" i="7"/>
  <c r="L32" i="7"/>
  <c r="K32" i="7"/>
  <c r="J32" i="7"/>
  <c r="I32" i="7"/>
  <c r="H32" i="7"/>
  <c r="G32" i="7"/>
  <c r="F32" i="7"/>
  <c r="E32" i="7"/>
  <c r="D32" i="7"/>
  <c r="C32" i="7"/>
  <c r="M31" i="7"/>
  <c r="L31" i="7"/>
  <c r="K31" i="7"/>
  <c r="J31" i="7"/>
  <c r="I31" i="7"/>
  <c r="H31" i="7"/>
  <c r="G31" i="7"/>
  <c r="F31" i="7"/>
  <c r="E31" i="7"/>
  <c r="D31" i="7"/>
  <c r="C31" i="7"/>
  <c r="M30" i="7"/>
  <c r="L30" i="7"/>
  <c r="K30" i="7"/>
  <c r="J30" i="7"/>
  <c r="I30" i="7"/>
  <c r="H30" i="7"/>
  <c r="G30" i="7"/>
  <c r="F30" i="7"/>
  <c r="E30" i="7"/>
  <c r="D30" i="7"/>
  <c r="C30" i="7"/>
  <c r="M29" i="7"/>
  <c r="L29" i="7"/>
  <c r="K29" i="7"/>
  <c r="J29" i="7"/>
  <c r="I29" i="7"/>
  <c r="H29" i="7"/>
  <c r="G29" i="7"/>
  <c r="F29" i="7"/>
  <c r="E29" i="7"/>
  <c r="N28" i="7"/>
  <c r="M27" i="7"/>
  <c r="L27" i="7"/>
  <c r="K27" i="7"/>
  <c r="J27" i="7"/>
  <c r="I27" i="7"/>
  <c r="H27" i="7"/>
  <c r="G27" i="7"/>
  <c r="F27" i="7"/>
  <c r="E27" i="7"/>
  <c r="D27" i="7"/>
  <c r="C27" i="7"/>
  <c r="M25" i="7"/>
  <c r="L25" i="7"/>
  <c r="K25" i="7"/>
  <c r="J25" i="7"/>
  <c r="I25" i="7"/>
  <c r="H25" i="7"/>
  <c r="G25" i="7"/>
  <c r="F25" i="7"/>
  <c r="E25" i="7"/>
  <c r="D25" i="7"/>
  <c r="M33" i="6"/>
  <c r="L33" i="6"/>
  <c r="K33" i="6"/>
  <c r="J33" i="6"/>
  <c r="I33" i="6"/>
  <c r="H33" i="6"/>
  <c r="G33" i="6"/>
  <c r="F33" i="6"/>
  <c r="E33" i="6"/>
  <c r="D33" i="6"/>
  <c r="C33" i="6"/>
  <c r="M32" i="6"/>
  <c r="L32" i="6"/>
  <c r="K32" i="6"/>
  <c r="J32" i="6"/>
  <c r="I32" i="6"/>
  <c r="H32" i="6"/>
  <c r="G32" i="6"/>
  <c r="F32" i="6"/>
  <c r="E32" i="6"/>
  <c r="D32" i="6"/>
  <c r="C32" i="6"/>
  <c r="M31" i="6"/>
  <c r="L31" i="6"/>
  <c r="K31" i="6"/>
  <c r="J31" i="6"/>
  <c r="I31" i="6"/>
  <c r="H31" i="6"/>
  <c r="G31" i="6"/>
  <c r="F31" i="6"/>
  <c r="E31" i="6"/>
  <c r="D31" i="6"/>
  <c r="C31" i="6"/>
  <c r="M30" i="6"/>
  <c r="L30" i="6"/>
  <c r="K30" i="6"/>
  <c r="J30" i="6"/>
  <c r="I30" i="6"/>
  <c r="H30" i="6"/>
  <c r="G30" i="6"/>
  <c r="F30" i="6"/>
  <c r="E30" i="6"/>
  <c r="D30" i="6"/>
  <c r="C30" i="6"/>
  <c r="M29" i="6"/>
  <c r="L29" i="6"/>
  <c r="K29" i="6"/>
  <c r="J29" i="6"/>
  <c r="I29" i="6"/>
  <c r="H29" i="6"/>
  <c r="G29" i="6"/>
  <c r="F29" i="6"/>
  <c r="E29" i="6"/>
  <c r="N28" i="6"/>
  <c r="M27" i="6"/>
  <c r="L27" i="6"/>
  <c r="K27" i="6"/>
  <c r="J27" i="6"/>
  <c r="I27" i="6"/>
  <c r="H27" i="6"/>
  <c r="G27" i="6"/>
  <c r="F27" i="6"/>
  <c r="E27" i="6"/>
  <c r="D27" i="6"/>
  <c r="C27" i="6"/>
  <c r="M25" i="6"/>
  <c r="L25" i="6"/>
  <c r="K25" i="6"/>
  <c r="J25" i="6"/>
  <c r="I25" i="6"/>
  <c r="H25" i="6"/>
  <c r="G25" i="6"/>
  <c r="F25" i="6"/>
  <c r="E25" i="6"/>
  <c r="D25" i="6"/>
  <c r="M33" i="5"/>
  <c r="L33" i="5"/>
  <c r="K33" i="5"/>
  <c r="J33" i="5"/>
  <c r="I33" i="5"/>
  <c r="H33" i="5"/>
  <c r="G33" i="5"/>
  <c r="F33" i="5"/>
  <c r="E33" i="5"/>
  <c r="D33" i="5"/>
  <c r="C33" i="5"/>
  <c r="M32" i="5"/>
  <c r="L32" i="5"/>
  <c r="K32" i="5"/>
  <c r="J32" i="5"/>
  <c r="I32" i="5"/>
  <c r="H32" i="5"/>
  <c r="G32" i="5"/>
  <c r="F32" i="5"/>
  <c r="E32" i="5"/>
  <c r="D32" i="5"/>
  <c r="C32" i="5"/>
  <c r="M31" i="5"/>
  <c r="L31" i="5"/>
  <c r="K31" i="5"/>
  <c r="J31" i="5"/>
  <c r="I31" i="5"/>
  <c r="H31" i="5"/>
  <c r="G31" i="5"/>
  <c r="F31" i="5"/>
  <c r="E31" i="5"/>
  <c r="D31" i="5"/>
  <c r="C31" i="5"/>
  <c r="M30" i="5"/>
  <c r="L30" i="5"/>
  <c r="K30" i="5"/>
  <c r="J30" i="5"/>
  <c r="I30" i="5"/>
  <c r="H30" i="5"/>
  <c r="G30" i="5"/>
  <c r="F30" i="5"/>
  <c r="E30" i="5"/>
  <c r="D30" i="5"/>
  <c r="C30" i="5"/>
  <c r="M29" i="5"/>
  <c r="L29" i="5"/>
  <c r="K29" i="5"/>
  <c r="J29" i="5"/>
  <c r="I29" i="5"/>
  <c r="H29" i="5"/>
  <c r="G29" i="5"/>
  <c r="F29" i="5"/>
  <c r="E29" i="5"/>
  <c r="N28" i="5"/>
  <c r="M27" i="5"/>
  <c r="L27" i="5"/>
  <c r="K27" i="5"/>
  <c r="J27" i="5"/>
  <c r="I27" i="5"/>
  <c r="H27" i="5"/>
  <c r="G27" i="5"/>
  <c r="F27" i="5"/>
  <c r="E27" i="5"/>
  <c r="D27" i="5"/>
  <c r="C27" i="5"/>
  <c r="M25" i="5"/>
  <c r="L25" i="5"/>
  <c r="K25" i="5"/>
  <c r="J25" i="5"/>
  <c r="I25" i="5"/>
  <c r="H25" i="5"/>
  <c r="G25" i="5"/>
  <c r="F25" i="5"/>
  <c r="E25" i="5"/>
  <c r="D25" i="5"/>
  <c r="M33" i="2"/>
  <c r="L33" i="2"/>
  <c r="K33" i="2"/>
  <c r="J33" i="2"/>
  <c r="I33" i="2"/>
  <c r="H33" i="2"/>
  <c r="G33" i="2"/>
  <c r="E33" i="2"/>
  <c r="D33" i="2"/>
  <c r="C33" i="2"/>
  <c r="M32" i="2"/>
  <c r="L32" i="2"/>
  <c r="K32" i="2"/>
  <c r="J32" i="2"/>
  <c r="I32" i="2"/>
  <c r="H32" i="2"/>
  <c r="F32" i="2"/>
  <c r="E32" i="2"/>
  <c r="D32" i="2"/>
  <c r="C32" i="2"/>
  <c r="M31" i="2"/>
  <c r="L31" i="2"/>
  <c r="K31" i="2"/>
  <c r="J31" i="2"/>
  <c r="I31" i="2"/>
  <c r="H31" i="2"/>
  <c r="G31" i="2"/>
  <c r="F31" i="2"/>
  <c r="E31" i="2"/>
  <c r="C31" i="2"/>
  <c r="M30" i="2"/>
  <c r="L30" i="2"/>
  <c r="K30" i="2"/>
  <c r="J30" i="2"/>
  <c r="I30" i="2"/>
  <c r="H30" i="2"/>
  <c r="E30" i="2"/>
  <c r="D30" i="2"/>
  <c r="C30" i="2"/>
  <c r="M29" i="2"/>
  <c r="L29" i="2"/>
  <c r="K29" i="2"/>
  <c r="J29" i="2"/>
  <c r="I29" i="2"/>
  <c r="H29" i="2"/>
  <c r="F29" i="2"/>
  <c r="E29" i="2"/>
  <c r="N28" i="2"/>
  <c r="M27" i="2"/>
  <c r="L27" i="2"/>
  <c r="K27" i="2"/>
  <c r="J27" i="2"/>
  <c r="I27" i="2"/>
  <c r="H27" i="2"/>
  <c r="G27" i="2"/>
  <c r="F27" i="2"/>
  <c r="E27" i="2"/>
  <c r="D27" i="2"/>
  <c r="C27" i="2"/>
  <c r="M25" i="2"/>
  <c r="L25" i="2"/>
  <c r="K25" i="2"/>
  <c r="J25" i="2"/>
  <c r="I25" i="2"/>
  <c r="H25" i="2"/>
  <c r="E25" i="2"/>
  <c r="D25" i="2"/>
  <c r="B8" i="7"/>
  <c r="B29" i="7" s="1"/>
  <c r="F10" i="7"/>
  <c r="F26" i="7" s="1"/>
  <c r="G10" i="7"/>
  <c r="G26" i="7" s="1"/>
  <c r="H10" i="7"/>
  <c r="H23" i="7" s="1"/>
  <c r="N7" i="7"/>
  <c r="Q19" i="7"/>
  <c r="Q18" i="7"/>
  <c r="S10" i="7"/>
  <c r="R10" i="7"/>
  <c r="Q19" i="6"/>
  <c r="Q18" i="6"/>
  <c r="S10" i="6"/>
  <c r="R10" i="6"/>
  <c r="Q19" i="5"/>
  <c r="Q18" i="5"/>
  <c r="S10" i="5"/>
  <c r="R10" i="5"/>
  <c r="Q19" i="2"/>
  <c r="Q18" i="2"/>
  <c r="S10" i="2"/>
  <c r="R10" i="2"/>
  <c r="Q19" i="1"/>
  <c r="Q18" i="1"/>
  <c r="S10" i="1"/>
  <c r="R10" i="1"/>
  <c r="H13" i="1"/>
  <c r="H34" i="1" s="1"/>
  <c r="F13" i="1"/>
  <c r="F34" i="1" s="1"/>
  <c r="G13" i="1"/>
  <c r="G34" i="1" s="1"/>
  <c r="I13" i="1"/>
  <c r="I34" i="1" s="1"/>
  <c r="J13" i="1"/>
  <c r="J34" i="1" s="1"/>
  <c r="K13" i="1"/>
  <c r="K34" i="1" s="1"/>
  <c r="L13" i="1"/>
  <c r="L34" i="1" s="1"/>
  <c r="M13" i="1"/>
  <c r="M34" i="1" s="1"/>
  <c r="C33" i="1"/>
  <c r="D33" i="1"/>
  <c r="E33" i="1"/>
  <c r="F33" i="1"/>
  <c r="G33" i="1"/>
  <c r="H33" i="1"/>
  <c r="I33" i="1"/>
  <c r="J33" i="1"/>
  <c r="K33" i="1"/>
  <c r="L33" i="1"/>
  <c r="M33" i="1"/>
  <c r="B33" i="1"/>
  <c r="B6" i="7"/>
  <c r="B7" i="7"/>
  <c r="B9" i="7"/>
  <c r="B39" i="7" s="1"/>
  <c r="B5" i="7"/>
  <c r="B40" i="7" s="1"/>
  <c r="N40" i="7" s="1"/>
  <c r="M10" i="7"/>
  <c r="M26" i="7" s="1"/>
  <c r="L10" i="7"/>
  <c r="L26" i="7" s="1"/>
  <c r="K10" i="7"/>
  <c r="K23" i="7" s="1"/>
  <c r="I10" i="7"/>
  <c r="I23" i="7" s="1"/>
  <c r="E10" i="7"/>
  <c r="E26" i="7" s="1"/>
  <c r="D10" i="7"/>
  <c r="D26" i="7" s="1"/>
  <c r="C10" i="7"/>
  <c r="C26" i="7" s="1"/>
  <c r="N9" i="7"/>
  <c r="N8" i="7"/>
  <c r="N6" i="7"/>
  <c r="N5" i="7"/>
  <c r="G29" i="1"/>
  <c r="H29" i="1"/>
  <c r="I29" i="1"/>
  <c r="J29" i="1"/>
  <c r="K29" i="1"/>
  <c r="L29" i="1"/>
  <c r="M29" i="1"/>
  <c r="E29" i="1"/>
  <c r="B7" i="2"/>
  <c r="B6" i="6"/>
  <c r="B7" i="6"/>
  <c r="B8" i="6"/>
  <c r="B14" i="6" s="1"/>
  <c r="B9" i="6"/>
  <c r="B39" i="6" s="1"/>
  <c r="B5" i="6"/>
  <c r="B40" i="6" s="1"/>
  <c r="N40" i="6" s="1"/>
  <c r="M10" i="6"/>
  <c r="M23" i="6" s="1"/>
  <c r="L10" i="6"/>
  <c r="L23" i="6" s="1"/>
  <c r="K10" i="6"/>
  <c r="K23" i="6" s="1"/>
  <c r="J10" i="6"/>
  <c r="J26" i="6" s="1"/>
  <c r="I10" i="6"/>
  <c r="I26" i="6" s="1"/>
  <c r="H10" i="6"/>
  <c r="H23" i="6" s="1"/>
  <c r="G10" i="6"/>
  <c r="G23" i="6" s="1"/>
  <c r="F10" i="6"/>
  <c r="F26" i="6" s="1"/>
  <c r="E10" i="6"/>
  <c r="E26" i="6" s="1"/>
  <c r="D10" i="6"/>
  <c r="D26" i="6" s="1"/>
  <c r="C10" i="6"/>
  <c r="C26" i="6" s="1"/>
  <c r="N9" i="6"/>
  <c r="N8" i="6"/>
  <c r="N7" i="6"/>
  <c r="N6" i="6"/>
  <c r="N5" i="6"/>
  <c r="E14" i="2"/>
  <c r="E19" i="2" s="1"/>
  <c r="D14" i="2"/>
  <c r="D19" i="2" s="1"/>
  <c r="M27" i="1"/>
  <c r="B40" i="5"/>
  <c r="N40" i="5" s="1"/>
  <c r="B6" i="2"/>
  <c r="B8" i="2"/>
  <c r="B9" i="2"/>
  <c r="B5" i="2"/>
  <c r="B40" i="2" s="1"/>
  <c r="N40" i="2" s="1"/>
  <c r="M10" i="5"/>
  <c r="M26" i="5" s="1"/>
  <c r="L10" i="5"/>
  <c r="L26" i="5" s="1"/>
  <c r="K10" i="5"/>
  <c r="K26" i="5" s="1"/>
  <c r="J10" i="5"/>
  <c r="J23" i="5" s="1"/>
  <c r="I10" i="5"/>
  <c r="I26" i="5" s="1"/>
  <c r="H10" i="5"/>
  <c r="H26" i="5" s="1"/>
  <c r="G10" i="5"/>
  <c r="G26" i="5" s="1"/>
  <c r="F10" i="5"/>
  <c r="F26" i="5" s="1"/>
  <c r="E10" i="5"/>
  <c r="E26" i="5" s="1"/>
  <c r="D10" i="5"/>
  <c r="D26" i="5" s="1"/>
  <c r="C10" i="5"/>
  <c r="C26" i="5" s="1"/>
  <c r="N9" i="5"/>
  <c r="N8" i="5"/>
  <c r="N7" i="5"/>
  <c r="N6" i="5"/>
  <c r="B29" i="1"/>
  <c r="D27" i="1"/>
  <c r="E27" i="1"/>
  <c r="F27" i="1"/>
  <c r="G27" i="1"/>
  <c r="H27" i="1"/>
  <c r="I27" i="1"/>
  <c r="J27" i="1"/>
  <c r="K27" i="1"/>
  <c r="L27" i="1"/>
  <c r="C27" i="1"/>
  <c r="M14" i="2"/>
  <c r="M19" i="2" s="1"/>
  <c r="L14" i="2"/>
  <c r="L19" i="2" s="1"/>
  <c r="K14" i="2"/>
  <c r="K19" i="2" s="1"/>
  <c r="J14" i="2"/>
  <c r="J19" i="2" s="1"/>
  <c r="F14" i="2"/>
  <c r="F19" i="2" s="1"/>
  <c r="C14" i="2"/>
  <c r="C19" i="2" s="1"/>
  <c r="M13" i="2"/>
  <c r="M34" i="2" s="1"/>
  <c r="L13" i="2"/>
  <c r="K13" i="2"/>
  <c r="J13" i="2"/>
  <c r="J34" i="2" s="1"/>
  <c r="F13" i="2"/>
  <c r="F34" i="2" s="1"/>
  <c r="E13" i="2"/>
  <c r="E18" i="2" s="1"/>
  <c r="D13" i="2"/>
  <c r="D34" i="2" s="1"/>
  <c r="D10" i="2"/>
  <c r="D26" i="2" s="1"/>
  <c r="C10" i="2"/>
  <c r="C26" i="2" s="1"/>
  <c r="N9" i="2"/>
  <c r="B39" i="5" s="1"/>
  <c r="N39" i="5" s="1"/>
  <c r="N8" i="2"/>
  <c r="B33" i="5" s="1"/>
  <c r="N7" i="2"/>
  <c r="B7" i="5" s="1"/>
  <c r="N5" i="2"/>
  <c r="E25" i="1"/>
  <c r="F25" i="1"/>
  <c r="G25" i="1"/>
  <c r="H25" i="1"/>
  <c r="I25" i="1"/>
  <c r="J25" i="1"/>
  <c r="K25" i="1"/>
  <c r="L25" i="1"/>
  <c r="M25" i="1"/>
  <c r="N6" i="1"/>
  <c r="N7" i="1"/>
  <c r="N8" i="1"/>
  <c r="N5" i="1"/>
  <c r="D32" i="1"/>
  <c r="E32" i="1"/>
  <c r="F32" i="1"/>
  <c r="G32" i="1"/>
  <c r="H32" i="1"/>
  <c r="I32" i="1"/>
  <c r="J32" i="1"/>
  <c r="K32" i="1"/>
  <c r="L32" i="1"/>
  <c r="M32" i="1"/>
  <c r="B32" i="1"/>
  <c r="C31" i="1"/>
  <c r="D31" i="1"/>
  <c r="E31" i="1"/>
  <c r="F31" i="1"/>
  <c r="G31" i="1"/>
  <c r="H31" i="1"/>
  <c r="I31" i="1"/>
  <c r="J31" i="1"/>
  <c r="K31" i="1"/>
  <c r="L31" i="1"/>
  <c r="M31" i="1"/>
  <c r="B31" i="1"/>
  <c r="C30" i="1"/>
  <c r="D30" i="1"/>
  <c r="E30" i="1"/>
  <c r="F30" i="1"/>
  <c r="G30" i="1"/>
  <c r="H30" i="1"/>
  <c r="I30" i="1"/>
  <c r="J30" i="1"/>
  <c r="K30" i="1"/>
  <c r="L30" i="1"/>
  <c r="M30" i="1"/>
  <c r="B30" i="1"/>
  <c r="B20" i="1"/>
  <c r="N28" i="1"/>
  <c r="C10" i="1"/>
  <c r="C26" i="1" s="1"/>
  <c r="D10" i="1"/>
  <c r="D26" i="1" s="1"/>
  <c r="E10" i="1"/>
  <c r="E26" i="1" s="1"/>
  <c r="F26" i="1"/>
  <c r="G10" i="1"/>
  <c r="G26" i="1" s="1"/>
  <c r="H10" i="1"/>
  <c r="H26" i="1" s="1"/>
  <c r="I10" i="1"/>
  <c r="I26" i="1" s="1"/>
  <c r="J10" i="1"/>
  <c r="J26" i="1" s="1"/>
  <c r="K10" i="1"/>
  <c r="K26" i="1" s="1"/>
  <c r="L10" i="1"/>
  <c r="L26" i="1" s="1"/>
  <c r="M10" i="1"/>
  <c r="M26" i="1" s="1"/>
  <c r="B10" i="1"/>
  <c r="B26" i="1" s="1"/>
  <c r="N38" i="5" l="1"/>
  <c r="N39" i="7"/>
  <c r="N38" i="7"/>
  <c r="N39" i="6"/>
  <c r="N36" i="6"/>
  <c r="N36" i="2"/>
  <c r="N38" i="2"/>
  <c r="N36" i="7"/>
  <c r="L68" i="7"/>
  <c r="D68" i="7"/>
  <c r="N36" i="5"/>
  <c r="B39" i="2"/>
  <c r="N39" i="2" s="1"/>
  <c r="B18" i="1"/>
  <c r="C67" i="2"/>
  <c r="N39" i="1"/>
  <c r="B65" i="1"/>
  <c r="N36" i="1"/>
  <c r="N38" i="1"/>
  <c r="N40" i="1"/>
  <c r="M19" i="1"/>
  <c r="J19" i="1"/>
  <c r="I19" i="1"/>
  <c r="E19" i="1"/>
  <c r="G19" i="1"/>
  <c r="H19" i="1"/>
  <c r="F19" i="1"/>
  <c r="L19" i="1"/>
  <c r="D19" i="1"/>
  <c r="K19" i="1"/>
  <c r="E68" i="7"/>
  <c r="L69" i="1"/>
  <c r="K69" i="1"/>
  <c r="I69" i="1"/>
  <c r="G65" i="1"/>
  <c r="H65" i="1"/>
  <c r="F65" i="1"/>
  <c r="M65" i="1"/>
  <c r="E65" i="1"/>
  <c r="H69" i="1"/>
  <c r="L65" i="1"/>
  <c r="D65" i="1"/>
  <c r="J65" i="1"/>
  <c r="I65" i="1"/>
  <c r="J69" i="1"/>
  <c r="M69" i="1"/>
  <c r="K65" i="1"/>
  <c r="N14" i="1"/>
  <c r="I67" i="1"/>
  <c r="G66" i="1"/>
  <c r="J68" i="1"/>
  <c r="M66" i="1"/>
  <c r="E66" i="1"/>
  <c r="I68" i="1"/>
  <c r="H67" i="1"/>
  <c r="L66" i="1"/>
  <c r="D66" i="1"/>
  <c r="H68" i="1"/>
  <c r="F66" i="1"/>
  <c r="M67" i="1"/>
  <c r="K66" i="1"/>
  <c r="G68" i="1"/>
  <c r="K68" i="1"/>
  <c r="L67" i="1"/>
  <c r="J66" i="1"/>
  <c r="F68" i="1"/>
  <c r="K67" i="1"/>
  <c r="I66" i="1"/>
  <c r="M68" i="1"/>
  <c r="E68" i="1"/>
  <c r="J67" i="1"/>
  <c r="H66" i="1"/>
  <c r="L68" i="1"/>
  <c r="D68" i="1"/>
  <c r="C65" i="1"/>
  <c r="H69" i="2"/>
  <c r="D69" i="2"/>
  <c r="F67" i="2"/>
  <c r="E69" i="2"/>
  <c r="F69" i="2"/>
  <c r="E67" i="2"/>
  <c r="D67" i="2"/>
  <c r="C69" i="2"/>
  <c r="H68" i="7"/>
  <c r="K68" i="7"/>
  <c r="C68" i="7"/>
  <c r="M68" i="7"/>
  <c r="J80" i="2"/>
  <c r="J68" i="7"/>
  <c r="I68" i="7"/>
  <c r="G68" i="7"/>
  <c r="F68" i="7"/>
  <c r="D80" i="2"/>
  <c r="L80" i="2"/>
  <c r="H80" i="2"/>
  <c r="F80" i="2"/>
  <c r="M80" i="2"/>
  <c r="K80" i="2"/>
  <c r="C80" i="2"/>
  <c r="E80" i="2"/>
  <c r="I80" i="2"/>
  <c r="L20" i="6"/>
  <c r="E69" i="6"/>
  <c r="H15" i="5"/>
  <c r="H76" i="5" s="1"/>
  <c r="C15" i="5"/>
  <c r="C76" i="5" s="1"/>
  <c r="I19" i="6"/>
  <c r="E19" i="6"/>
  <c r="L15" i="5"/>
  <c r="L76" i="5" s="1"/>
  <c r="M15" i="5"/>
  <c r="M76" i="5" s="1"/>
  <c r="D15" i="5"/>
  <c r="D76" i="5" s="1"/>
  <c r="E15" i="5"/>
  <c r="E76" i="5" s="1"/>
  <c r="F15" i="5"/>
  <c r="F76" i="5" s="1"/>
  <c r="K15" i="5"/>
  <c r="K76" i="5" s="1"/>
  <c r="H18" i="5"/>
  <c r="G15" i="5"/>
  <c r="G76" i="5" s="1"/>
  <c r="D23" i="2"/>
  <c r="C23" i="2"/>
  <c r="E18" i="7"/>
  <c r="K34" i="6"/>
  <c r="J15" i="5"/>
  <c r="J76" i="5" s="1"/>
  <c r="I15" i="5"/>
  <c r="I76" i="5" s="1"/>
  <c r="I21" i="5"/>
  <c r="H70" i="7"/>
  <c r="D70" i="7"/>
  <c r="C70" i="7"/>
  <c r="D69" i="6"/>
  <c r="F69" i="6"/>
  <c r="G67" i="6"/>
  <c r="M20" i="5"/>
  <c r="F70" i="7"/>
  <c r="E70" i="7"/>
  <c r="H69" i="6"/>
  <c r="F67" i="6"/>
  <c r="G69" i="6"/>
  <c r="E67" i="6"/>
  <c r="D67" i="6"/>
  <c r="C69" i="6"/>
  <c r="H67" i="6"/>
  <c r="C67" i="6"/>
  <c r="G32" i="2"/>
  <c r="G13" i="2"/>
  <c r="F25" i="2"/>
  <c r="F30" i="2"/>
  <c r="G14" i="2"/>
  <c r="G29" i="2"/>
  <c r="G25" i="2"/>
  <c r="G20" i="2"/>
  <c r="L18" i="6"/>
  <c r="M20" i="6"/>
  <c r="D21" i="6"/>
  <c r="G70" i="7"/>
  <c r="G21" i="6"/>
  <c r="F21" i="6"/>
  <c r="C21" i="5"/>
  <c r="H23" i="5"/>
  <c r="G23" i="5"/>
  <c r="F23" i="5"/>
  <c r="L21" i="7"/>
  <c r="F23" i="7"/>
  <c r="D21" i="7"/>
  <c r="C23" i="6"/>
  <c r="G23" i="7"/>
  <c r="E23" i="7"/>
  <c r="J21" i="7"/>
  <c r="C21" i="7"/>
  <c r="K21" i="7"/>
  <c r="M18" i="7"/>
  <c r="H26" i="7"/>
  <c r="J18" i="7"/>
  <c r="D23" i="7"/>
  <c r="H21" i="7"/>
  <c r="G20" i="7"/>
  <c r="E21" i="7"/>
  <c r="C23" i="7"/>
  <c r="I21" i="7"/>
  <c r="M21" i="7"/>
  <c r="L26" i="6"/>
  <c r="M26" i="6"/>
  <c r="F23" i="6"/>
  <c r="E23" i="6"/>
  <c r="M18" i="6"/>
  <c r="E21" i="6"/>
  <c r="K18" i="6"/>
  <c r="D23" i="6"/>
  <c r="E23" i="5"/>
  <c r="F20" i="5"/>
  <c r="D23" i="5"/>
  <c r="C23" i="5"/>
  <c r="I20" i="5"/>
  <c r="I20" i="2"/>
  <c r="M21" i="2"/>
  <c r="I20" i="7"/>
  <c r="I22" i="7" s="1"/>
  <c r="C34" i="7"/>
  <c r="L23" i="7"/>
  <c r="H34" i="7"/>
  <c r="M23" i="7"/>
  <c r="I34" i="7"/>
  <c r="G18" i="7"/>
  <c r="J34" i="7"/>
  <c r="H18" i="7"/>
  <c r="H20" i="7"/>
  <c r="K34" i="7"/>
  <c r="I21" i="6"/>
  <c r="E34" i="6"/>
  <c r="F34" i="6"/>
  <c r="E18" i="6"/>
  <c r="I23" i="6"/>
  <c r="H21" i="6"/>
  <c r="C18" i="6"/>
  <c r="M21" i="6"/>
  <c r="D18" i="6"/>
  <c r="E20" i="6"/>
  <c r="K26" i="6"/>
  <c r="F21" i="5"/>
  <c r="I34" i="5"/>
  <c r="J21" i="5"/>
  <c r="E18" i="5"/>
  <c r="G20" i="5"/>
  <c r="K21" i="5"/>
  <c r="J34" i="5"/>
  <c r="D21" i="5"/>
  <c r="H34" i="5"/>
  <c r="F18" i="5"/>
  <c r="H20" i="5"/>
  <c r="K23" i="5"/>
  <c r="K34" i="5"/>
  <c r="L23" i="5"/>
  <c r="E21" i="5"/>
  <c r="D18" i="5"/>
  <c r="M21" i="5"/>
  <c r="H65" i="5"/>
  <c r="J20" i="5"/>
  <c r="E21" i="2"/>
  <c r="N33" i="5"/>
  <c r="F21" i="2"/>
  <c r="K21" i="2"/>
  <c r="F18" i="2"/>
  <c r="B20" i="2"/>
  <c r="C21" i="2"/>
  <c r="L21" i="2"/>
  <c r="B27" i="2"/>
  <c r="N27" i="2" s="1"/>
  <c r="D21" i="2"/>
  <c r="H20" i="2"/>
  <c r="C34" i="2"/>
  <c r="J20" i="7"/>
  <c r="N25" i="7"/>
  <c r="B27" i="7"/>
  <c r="N27" i="7" s="1"/>
  <c r="C18" i="7"/>
  <c r="K18" i="7"/>
  <c r="D20" i="7"/>
  <c r="L20" i="7"/>
  <c r="B32" i="7"/>
  <c r="N32" i="7" s="1"/>
  <c r="D34" i="7"/>
  <c r="L34" i="7"/>
  <c r="I26" i="7"/>
  <c r="D18" i="7"/>
  <c r="L18" i="7"/>
  <c r="E20" i="7"/>
  <c r="M20" i="7"/>
  <c r="K26" i="7"/>
  <c r="B30" i="7"/>
  <c r="E34" i="7"/>
  <c r="C20" i="7"/>
  <c r="F20" i="7"/>
  <c r="F22" i="7" s="1"/>
  <c r="F34" i="7"/>
  <c r="F21" i="7"/>
  <c r="B20" i="7"/>
  <c r="G21" i="7"/>
  <c r="K20" i="7"/>
  <c r="J21" i="6"/>
  <c r="C21" i="6"/>
  <c r="L21" i="6"/>
  <c r="B33" i="6"/>
  <c r="B27" i="6"/>
  <c r="N27" i="6" s="1"/>
  <c r="F18" i="6"/>
  <c r="H20" i="6"/>
  <c r="B31" i="6"/>
  <c r="N31" i="6" s="1"/>
  <c r="H34" i="6"/>
  <c r="F20" i="6"/>
  <c r="J23" i="6"/>
  <c r="G20" i="6"/>
  <c r="G18" i="6"/>
  <c r="I20" i="6"/>
  <c r="G26" i="6"/>
  <c r="I34" i="6"/>
  <c r="K21" i="6"/>
  <c r="G34" i="6"/>
  <c r="H18" i="6"/>
  <c r="J20" i="6"/>
  <c r="H26" i="6"/>
  <c r="J34" i="6"/>
  <c r="B31" i="7"/>
  <c r="N31" i="7" s="1"/>
  <c r="N29" i="7"/>
  <c r="H65" i="6"/>
  <c r="I18" i="6"/>
  <c r="C20" i="6"/>
  <c r="K20" i="6"/>
  <c r="N25" i="6"/>
  <c r="B33" i="7"/>
  <c r="D20" i="6"/>
  <c r="M18" i="5"/>
  <c r="L21" i="5"/>
  <c r="M23" i="5"/>
  <c r="B19" i="6"/>
  <c r="G18" i="5"/>
  <c r="C34" i="5"/>
  <c r="G21" i="5"/>
  <c r="L34" i="5"/>
  <c r="I18" i="5"/>
  <c r="C20" i="5"/>
  <c r="K20" i="5"/>
  <c r="K22" i="5" s="1"/>
  <c r="H21" i="5"/>
  <c r="J26" i="5"/>
  <c r="B29" i="5"/>
  <c r="M34" i="5"/>
  <c r="N25" i="5"/>
  <c r="B29" i="6"/>
  <c r="J18" i="5"/>
  <c r="D20" i="5"/>
  <c r="L20" i="5"/>
  <c r="I23" i="5"/>
  <c r="B20" i="6"/>
  <c r="B30" i="6"/>
  <c r="B32" i="6"/>
  <c r="N32" i="6" s="1"/>
  <c r="H19" i="5"/>
  <c r="E20" i="5"/>
  <c r="H18" i="2"/>
  <c r="J20" i="2"/>
  <c r="E34" i="2"/>
  <c r="B30" i="5"/>
  <c r="B32" i="5"/>
  <c r="N32" i="5" s="1"/>
  <c r="L34" i="2"/>
  <c r="I18" i="2"/>
  <c r="C20" i="2"/>
  <c r="K20" i="2"/>
  <c r="H21" i="2"/>
  <c r="J18" i="2"/>
  <c r="D20" i="2"/>
  <c r="L20" i="2"/>
  <c r="I21" i="2"/>
  <c r="B20" i="5"/>
  <c r="C18" i="2"/>
  <c r="K18" i="2"/>
  <c r="E20" i="2"/>
  <c r="E22" i="2" s="1"/>
  <c r="M20" i="2"/>
  <c r="J21" i="2"/>
  <c r="K34" i="2"/>
  <c r="D18" i="2"/>
  <c r="L18" i="2"/>
  <c r="F20" i="2"/>
  <c r="B31" i="5"/>
  <c r="N31" i="5" s="1"/>
  <c r="M18" i="2"/>
  <c r="M23" i="1"/>
  <c r="I23" i="1"/>
  <c r="H23" i="1"/>
  <c r="B31" i="2"/>
  <c r="N31" i="2" s="1"/>
  <c r="B33" i="2"/>
  <c r="L23" i="1"/>
  <c r="K23" i="1"/>
  <c r="B30" i="2"/>
  <c r="B32" i="2"/>
  <c r="B29" i="2"/>
  <c r="J23" i="1"/>
  <c r="B34" i="1"/>
  <c r="E34" i="1"/>
  <c r="H69" i="7"/>
  <c r="J10" i="7"/>
  <c r="F65" i="5"/>
  <c r="G65" i="5"/>
  <c r="G68" i="5"/>
  <c r="H68" i="5"/>
  <c r="J65" i="2"/>
  <c r="G69" i="7"/>
  <c r="I66" i="7"/>
  <c r="H66" i="7"/>
  <c r="L66" i="7"/>
  <c r="J68" i="6"/>
  <c r="I65" i="6"/>
  <c r="M65" i="2"/>
  <c r="F65" i="2"/>
  <c r="M66" i="2"/>
  <c r="I69" i="2"/>
  <c r="L65" i="2"/>
  <c r="M68" i="2"/>
  <c r="L66" i="2"/>
  <c r="H66" i="5"/>
  <c r="C69" i="5"/>
  <c r="K65" i="6"/>
  <c r="J65" i="6"/>
  <c r="C65" i="6"/>
  <c r="M65" i="6"/>
  <c r="D68" i="6"/>
  <c r="C66" i="7"/>
  <c r="I69" i="7"/>
  <c r="D66" i="7"/>
  <c r="F66" i="7"/>
  <c r="I70" i="7"/>
  <c r="K66" i="7"/>
  <c r="L65" i="6"/>
  <c r="K68" i="6"/>
  <c r="L68" i="6"/>
  <c r="L69" i="6"/>
  <c r="M69" i="6"/>
  <c r="H68" i="6"/>
  <c r="E66" i="6"/>
  <c r="G65" i="6"/>
  <c r="M66" i="6"/>
  <c r="C68" i="6"/>
  <c r="I68" i="5"/>
  <c r="F67" i="5"/>
  <c r="C65" i="5"/>
  <c r="J69" i="5"/>
  <c r="E67" i="5"/>
  <c r="J65" i="5"/>
  <c r="D65" i="5"/>
  <c r="K69" i="5"/>
  <c r="D69" i="5"/>
  <c r="E65" i="5"/>
  <c r="J66" i="5"/>
  <c r="H69" i="5"/>
  <c r="L65" i="5"/>
  <c r="G67" i="5"/>
  <c r="K66" i="5"/>
  <c r="M65" i="5"/>
  <c r="K67" i="5"/>
  <c r="E68" i="2"/>
  <c r="J69" i="2"/>
  <c r="K65" i="2"/>
  <c r="D68" i="2"/>
  <c r="F68" i="2"/>
  <c r="C66" i="2"/>
  <c r="H67" i="2"/>
  <c r="D66" i="2"/>
  <c r="D65" i="2"/>
  <c r="E66" i="2"/>
  <c r="M67" i="2"/>
  <c r="C65" i="2"/>
  <c r="E65" i="2"/>
  <c r="K66" i="2"/>
  <c r="L68" i="2"/>
  <c r="I65" i="2"/>
  <c r="F66" i="2"/>
  <c r="L67" i="2"/>
  <c r="K68" i="2"/>
  <c r="C68" i="2"/>
  <c r="H65" i="2"/>
  <c r="K67" i="2"/>
  <c r="J68" i="2"/>
  <c r="M69" i="2"/>
  <c r="H66" i="2"/>
  <c r="J67" i="2"/>
  <c r="I68" i="2"/>
  <c r="L69" i="2"/>
  <c r="I66" i="2"/>
  <c r="I67" i="2"/>
  <c r="H68" i="2"/>
  <c r="K69" i="2"/>
  <c r="J66" i="2"/>
  <c r="C66" i="5"/>
  <c r="L67" i="5"/>
  <c r="L66" i="5"/>
  <c r="L69" i="5"/>
  <c r="D67" i="5"/>
  <c r="I65" i="5"/>
  <c r="E66" i="5"/>
  <c r="M66" i="5"/>
  <c r="J68" i="5"/>
  <c r="M69" i="5"/>
  <c r="C67" i="5"/>
  <c r="F66" i="5"/>
  <c r="C68" i="5"/>
  <c r="K68" i="5"/>
  <c r="M67" i="5"/>
  <c r="K65" i="5"/>
  <c r="G66" i="5"/>
  <c r="H67" i="5"/>
  <c r="D68" i="5"/>
  <c r="L68" i="5"/>
  <c r="G69" i="5"/>
  <c r="D66" i="5"/>
  <c r="I67" i="5"/>
  <c r="E68" i="5"/>
  <c r="M68" i="5"/>
  <c r="F69" i="5"/>
  <c r="I66" i="5"/>
  <c r="J67" i="5"/>
  <c r="F68" i="5"/>
  <c r="I69" i="5"/>
  <c r="E69" i="5"/>
  <c r="D65" i="6"/>
  <c r="H66" i="6"/>
  <c r="I67" i="6"/>
  <c r="E68" i="6"/>
  <c r="M68" i="6"/>
  <c r="G66" i="6"/>
  <c r="E65" i="6"/>
  <c r="I66" i="6"/>
  <c r="J67" i="6"/>
  <c r="F68" i="6"/>
  <c r="F65" i="6"/>
  <c r="J66" i="6"/>
  <c r="K67" i="6"/>
  <c r="G68" i="6"/>
  <c r="I69" i="6"/>
  <c r="C66" i="6"/>
  <c r="K66" i="6"/>
  <c r="L67" i="6"/>
  <c r="J69" i="6"/>
  <c r="F66" i="6"/>
  <c r="D66" i="6"/>
  <c r="L66" i="6"/>
  <c r="M67" i="6"/>
  <c r="I68" i="6"/>
  <c r="K69" i="6"/>
  <c r="G66" i="7"/>
  <c r="K67" i="7"/>
  <c r="J70" i="7"/>
  <c r="D67" i="7"/>
  <c r="M70" i="7"/>
  <c r="G67" i="7"/>
  <c r="D69" i="7"/>
  <c r="L69" i="7"/>
  <c r="J67" i="7"/>
  <c r="C67" i="7"/>
  <c r="L67" i="7"/>
  <c r="K70" i="7"/>
  <c r="E67" i="7"/>
  <c r="J69" i="7"/>
  <c r="F67" i="7"/>
  <c r="K69" i="7"/>
  <c r="H67" i="7"/>
  <c r="E69" i="7"/>
  <c r="M69" i="7"/>
  <c r="M67" i="7"/>
  <c r="L70" i="7"/>
  <c r="J66" i="7"/>
  <c r="C69" i="7"/>
  <c r="E66" i="7"/>
  <c r="M66" i="7"/>
  <c r="I67" i="7"/>
  <c r="F69" i="7"/>
  <c r="B14" i="7"/>
  <c r="B10" i="6"/>
  <c r="K21" i="1"/>
  <c r="I21" i="1"/>
  <c r="H21" i="1"/>
  <c r="J18" i="1"/>
  <c r="I18" i="1"/>
  <c r="H18" i="1"/>
  <c r="B21" i="1"/>
  <c r="J21" i="1"/>
  <c r="G18" i="1"/>
  <c r="G21" i="1"/>
  <c r="F18" i="1"/>
  <c r="F21" i="1"/>
  <c r="M18" i="1"/>
  <c r="E18" i="1"/>
  <c r="M21" i="1"/>
  <c r="E21" i="1"/>
  <c r="L18" i="1"/>
  <c r="D18" i="1"/>
  <c r="L21" i="1"/>
  <c r="D21" i="1"/>
  <c r="K18" i="1"/>
  <c r="B14" i="2"/>
  <c r="N10" i="7"/>
  <c r="B13" i="7"/>
  <c r="B10" i="7"/>
  <c r="B14" i="5"/>
  <c r="N14" i="6"/>
  <c r="N10" i="6"/>
  <c r="B13" i="6"/>
  <c r="N10" i="5"/>
  <c r="B13" i="5"/>
  <c r="E10" i="2"/>
  <c r="E23" i="2" s="1"/>
  <c r="B13" i="2"/>
  <c r="B10" i="2"/>
  <c r="N25" i="1"/>
  <c r="N29" i="1"/>
  <c r="C20" i="1"/>
  <c r="J20" i="1"/>
  <c r="I20" i="1"/>
  <c r="N27" i="1"/>
  <c r="E20" i="1"/>
  <c r="N30" i="1"/>
  <c r="L20" i="1"/>
  <c r="D20" i="1"/>
  <c r="H20" i="1"/>
  <c r="G20" i="1"/>
  <c r="F20" i="1"/>
  <c r="M20" i="1"/>
  <c r="K20" i="1"/>
  <c r="N33" i="1"/>
  <c r="N10" i="1"/>
  <c r="N31" i="1"/>
  <c r="N32" i="1"/>
  <c r="N26" i="1"/>
  <c r="B19" i="2" l="1"/>
  <c r="J78" i="5"/>
  <c r="D78" i="5"/>
  <c r="M78" i="5"/>
  <c r="G78" i="5"/>
  <c r="F78" i="5"/>
  <c r="E78" i="5"/>
  <c r="L78" i="5"/>
  <c r="H78" i="5"/>
  <c r="I78" i="5"/>
  <c r="K78" i="5"/>
  <c r="C78" i="5"/>
  <c r="L22" i="6"/>
  <c r="N33" i="7"/>
  <c r="N30" i="7"/>
  <c r="B19" i="7"/>
  <c r="N29" i="6"/>
  <c r="N33" i="6"/>
  <c r="N30" i="6"/>
  <c r="N30" i="5"/>
  <c r="N29" i="5"/>
  <c r="G80" i="2"/>
  <c r="N13" i="5"/>
  <c r="C68" i="1"/>
  <c r="C66" i="1"/>
  <c r="N33" i="2"/>
  <c r="N13" i="1"/>
  <c r="C34" i="1"/>
  <c r="C21" i="1"/>
  <c r="N21" i="1" s="1"/>
  <c r="C18" i="1"/>
  <c r="B69" i="2"/>
  <c r="B67" i="2"/>
  <c r="G18" i="2"/>
  <c r="G67" i="2"/>
  <c r="G69" i="2"/>
  <c r="B68" i="7"/>
  <c r="N68" i="7" s="1"/>
  <c r="Q54" i="7" s="1"/>
  <c r="M80" i="5"/>
  <c r="M77" i="5"/>
  <c r="M79" i="5"/>
  <c r="D79" i="5"/>
  <c r="D77" i="5"/>
  <c r="D80" i="5"/>
  <c r="B19" i="5"/>
  <c r="N19" i="5" s="1"/>
  <c r="L79" i="5"/>
  <c r="L77" i="5"/>
  <c r="L80" i="5"/>
  <c r="C79" i="5"/>
  <c r="C77" i="5"/>
  <c r="C80" i="5"/>
  <c r="E80" i="5"/>
  <c r="E79" i="5"/>
  <c r="E77" i="5"/>
  <c r="I79" i="5"/>
  <c r="I77" i="5"/>
  <c r="I80" i="5"/>
  <c r="H79" i="5"/>
  <c r="H77" i="5"/>
  <c r="H80" i="5"/>
  <c r="K79" i="5"/>
  <c r="K77" i="5"/>
  <c r="K80" i="5"/>
  <c r="J79" i="5"/>
  <c r="J77" i="5"/>
  <c r="J80" i="5"/>
  <c r="G77" i="5"/>
  <c r="G80" i="5"/>
  <c r="G79" i="5"/>
  <c r="F80" i="5"/>
  <c r="F79" i="5"/>
  <c r="F77" i="5"/>
  <c r="G19" i="2"/>
  <c r="N32" i="2"/>
  <c r="B80" i="2"/>
  <c r="N25" i="2"/>
  <c r="N19" i="6"/>
  <c r="H22" i="7"/>
  <c r="B67" i="6"/>
  <c r="N67" i="6" s="1"/>
  <c r="Q53" i="6" s="1"/>
  <c r="N14" i="5"/>
  <c r="L24" i="6"/>
  <c r="G21" i="2"/>
  <c r="G34" i="2"/>
  <c r="G65" i="2"/>
  <c r="B18" i="6"/>
  <c r="N18" i="6" s="1"/>
  <c r="B69" i="6"/>
  <c r="C24" i="2"/>
  <c r="H24" i="7"/>
  <c r="N29" i="2"/>
  <c r="G68" i="2"/>
  <c r="G66" i="2"/>
  <c r="N30" i="2"/>
  <c r="I24" i="2"/>
  <c r="M24" i="2"/>
  <c r="C24" i="5"/>
  <c r="E24" i="5"/>
  <c r="M22" i="6"/>
  <c r="B18" i="7"/>
  <c r="N18" i="7" s="1"/>
  <c r="B70" i="7"/>
  <c r="J22" i="7"/>
  <c r="D22" i="6"/>
  <c r="E24" i="6"/>
  <c r="F22" i="5"/>
  <c r="F24" i="5"/>
  <c r="I24" i="7"/>
  <c r="I41" i="7" s="1"/>
  <c r="M24" i="7"/>
  <c r="E22" i="6"/>
  <c r="E75" i="6" s="1"/>
  <c r="C24" i="6"/>
  <c r="G22" i="7"/>
  <c r="E24" i="7"/>
  <c r="B26" i="7"/>
  <c r="B23" i="7"/>
  <c r="H24" i="6"/>
  <c r="H24" i="5"/>
  <c r="H22" i="5"/>
  <c r="B26" i="6"/>
  <c r="B23" i="6"/>
  <c r="N23" i="6" s="1"/>
  <c r="N23" i="1"/>
  <c r="D24" i="2"/>
  <c r="F24" i="2"/>
  <c r="H24" i="2"/>
  <c r="N20" i="2"/>
  <c r="E24" i="2"/>
  <c r="E70" i="2" s="1"/>
  <c r="E71" i="2" s="1"/>
  <c r="M22" i="7"/>
  <c r="J24" i="7"/>
  <c r="E22" i="7"/>
  <c r="G24" i="7"/>
  <c r="I24" i="6"/>
  <c r="H22" i="6"/>
  <c r="M24" i="6"/>
  <c r="K24" i="6"/>
  <c r="J24" i="6"/>
  <c r="D24" i="5"/>
  <c r="E22" i="5"/>
  <c r="F22" i="2"/>
  <c r="K24" i="2"/>
  <c r="B26" i="2"/>
  <c r="B23" i="2"/>
  <c r="E26" i="2"/>
  <c r="L24" i="2"/>
  <c r="J24" i="2"/>
  <c r="D22" i="2"/>
  <c r="N20" i="7"/>
  <c r="J23" i="7"/>
  <c r="J26" i="7"/>
  <c r="L22" i="7"/>
  <c r="L76" i="7" s="1"/>
  <c r="L24" i="7"/>
  <c r="K22" i="7"/>
  <c r="K24" i="7"/>
  <c r="F24" i="7"/>
  <c r="F41" i="7" s="1"/>
  <c r="D22" i="7"/>
  <c r="D24" i="7"/>
  <c r="C22" i="7"/>
  <c r="C24" i="7"/>
  <c r="C22" i="6"/>
  <c r="J22" i="6"/>
  <c r="J75" i="6" s="1"/>
  <c r="D24" i="6"/>
  <c r="F24" i="6"/>
  <c r="F22" i="6"/>
  <c r="B21" i="7"/>
  <c r="N21" i="7" s="1"/>
  <c r="B34" i="7"/>
  <c r="N20" i="6"/>
  <c r="K22" i="6"/>
  <c r="G24" i="6"/>
  <c r="G22" i="6"/>
  <c r="G75" i="6" s="1"/>
  <c r="I22" i="6"/>
  <c r="I75" i="6" s="1"/>
  <c r="L24" i="5"/>
  <c r="M22" i="5"/>
  <c r="M24" i="5"/>
  <c r="L22" i="5"/>
  <c r="G22" i="5"/>
  <c r="G24" i="5"/>
  <c r="C22" i="5"/>
  <c r="B34" i="6"/>
  <c r="B21" i="6"/>
  <c r="N21" i="6" s="1"/>
  <c r="D22" i="5"/>
  <c r="K24" i="5"/>
  <c r="K41" i="5" s="1"/>
  <c r="K43" i="5" s="1"/>
  <c r="J22" i="5"/>
  <c r="J24" i="5"/>
  <c r="I22" i="5"/>
  <c r="I24" i="5"/>
  <c r="N20" i="5"/>
  <c r="I22" i="2"/>
  <c r="M22" i="2"/>
  <c r="K22" i="2"/>
  <c r="L22" i="2"/>
  <c r="C22" i="2"/>
  <c r="C75" i="2" s="1"/>
  <c r="J22" i="2"/>
  <c r="H22" i="2"/>
  <c r="B21" i="5"/>
  <c r="N21" i="5" s="1"/>
  <c r="B34" i="5"/>
  <c r="B34" i="2"/>
  <c r="B21" i="2"/>
  <c r="B18" i="2"/>
  <c r="N14" i="7"/>
  <c r="L57" i="5"/>
  <c r="J56" i="5"/>
  <c r="G59" i="5"/>
  <c r="C56" i="5"/>
  <c r="H57" i="5"/>
  <c r="K58" i="5"/>
  <c r="D60" i="5"/>
  <c r="M60" i="5"/>
  <c r="L59" i="5"/>
  <c r="G58" i="5"/>
  <c r="D59" i="5"/>
  <c r="F57" i="5"/>
  <c r="C57" i="5"/>
  <c r="K59" i="5"/>
  <c r="B65" i="2"/>
  <c r="B68" i="2"/>
  <c r="B66" i="2"/>
  <c r="E60" i="5"/>
  <c r="I60" i="5"/>
  <c r="E59" i="5"/>
  <c r="H58" i="5"/>
  <c r="C59" i="5"/>
  <c r="H59" i="5"/>
  <c r="E57" i="5"/>
  <c r="M59" i="5"/>
  <c r="B65" i="5"/>
  <c r="F59" i="5"/>
  <c r="I58" i="5"/>
  <c r="G57" i="5"/>
  <c r="D58" i="5"/>
  <c r="C60" i="5"/>
  <c r="F60" i="5"/>
  <c r="M58" i="5"/>
  <c r="J58" i="5"/>
  <c r="D57" i="5"/>
  <c r="K56" i="5"/>
  <c r="C58" i="5"/>
  <c r="L60" i="5"/>
  <c r="E58" i="5"/>
  <c r="H60" i="5"/>
  <c r="I57" i="5"/>
  <c r="G56" i="5"/>
  <c r="L56" i="5"/>
  <c r="M56" i="5"/>
  <c r="H56" i="5"/>
  <c r="F56" i="5"/>
  <c r="K57" i="5"/>
  <c r="K60" i="5"/>
  <c r="J59" i="5"/>
  <c r="E56" i="5"/>
  <c r="D56" i="5"/>
  <c r="F58" i="5"/>
  <c r="B67" i="5"/>
  <c r="B69" i="5"/>
  <c r="B68" i="5"/>
  <c r="M57" i="5"/>
  <c r="I56" i="5"/>
  <c r="G60" i="5"/>
  <c r="J60" i="5"/>
  <c r="L58" i="5"/>
  <c r="J57" i="5"/>
  <c r="I59" i="5"/>
  <c r="B66" i="6"/>
  <c r="B68" i="6"/>
  <c r="B65" i="6"/>
  <c r="B66" i="7"/>
  <c r="B67" i="7"/>
  <c r="B69" i="7"/>
  <c r="N14" i="2"/>
  <c r="N13" i="7"/>
  <c r="N13" i="6"/>
  <c r="N13" i="2"/>
  <c r="B15" i="5"/>
  <c r="F10" i="2"/>
  <c r="F23" i="2" s="1"/>
  <c r="N20" i="1"/>
  <c r="H75" i="5" l="1"/>
  <c r="C75" i="6"/>
  <c r="E76" i="7"/>
  <c r="H76" i="7"/>
  <c r="C75" i="5"/>
  <c r="F75" i="6"/>
  <c r="E75" i="2"/>
  <c r="D75" i="2"/>
  <c r="G76" i="7"/>
  <c r="M75" i="6"/>
  <c r="K76" i="7"/>
  <c r="M76" i="7"/>
  <c r="J76" i="7"/>
  <c r="I76" i="7"/>
  <c r="N19" i="7"/>
  <c r="C76" i="7"/>
  <c r="D76" i="7"/>
  <c r="F76" i="7"/>
  <c r="H41" i="6"/>
  <c r="H75" i="6"/>
  <c r="L75" i="6"/>
  <c r="D75" i="6"/>
  <c r="K41" i="6"/>
  <c r="K75" i="6"/>
  <c r="D75" i="5"/>
  <c r="M75" i="5"/>
  <c r="K75" i="5"/>
  <c r="G75" i="5"/>
  <c r="F75" i="5"/>
  <c r="J75" i="5"/>
  <c r="L75" i="5"/>
  <c r="E75" i="5"/>
  <c r="I75" i="5"/>
  <c r="N18" i="1"/>
  <c r="I49" i="5"/>
  <c r="D49" i="5"/>
  <c r="L49" i="5"/>
  <c r="G49" i="5"/>
  <c r="J41" i="6"/>
  <c r="K49" i="5"/>
  <c r="C49" i="5"/>
  <c r="J49" i="5"/>
  <c r="H49" i="5"/>
  <c r="F49" i="5"/>
  <c r="E49" i="5"/>
  <c r="G41" i="6"/>
  <c r="N15" i="5"/>
  <c r="B78" i="5"/>
  <c r="N78" i="5" s="1"/>
  <c r="I41" i="6"/>
  <c r="C41" i="6"/>
  <c r="E41" i="7"/>
  <c r="E41" i="6"/>
  <c r="M41" i="6"/>
  <c r="L41" i="6"/>
  <c r="D41" i="6"/>
  <c r="F41" i="6"/>
  <c r="G41" i="7"/>
  <c r="C41" i="7"/>
  <c r="M41" i="7"/>
  <c r="J41" i="7"/>
  <c r="L41" i="7"/>
  <c r="D41" i="7"/>
  <c r="K41" i="7"/>
  <c r="H41" i="7"/>
  <c r="N34" i="7"/>
  <c r="N70" i="7"/>
  <c r="Q56" i="7" s="1"/>
  <c r="N34" i="6"/>
  <c r="N26" i="6"/>
  <c r="N69" i="6"/>
  <c r="Q55" i="6" s="1"/>
  <c r="N34" i="5"/>
  <c r="N68" i="1"/>
  <c r="Q55" i="1" s="1"/>
  <c r="N34" i="1"/>
  <c r="N66" i="1"/>
  <c r="Q53" i="1" s="1"/>
  <c r="D70" i="2"/>
  <c r="D71" i="2" s="1"/>
  <c r="E70" i="5"/>
  <c r="E71" i="5" s="1"/>
  <c r="M49" i="5"/>
  <c r="I70" i="6"/>
  <c r="I71" i="6" s="1"/>
  <c r="H70" i="5"/>
  <c r="H71" i="5" s="1"/>
  <c r="K70" i="6"/>
  <c r="K71" i="6" s="1"/>
  <c r="C70" i="6"/>
  <c r="C71" i="6" s="1"/>
  <c r="C70" i="5"/>
  <c r="C71" i="5" s="1"/>
  <c r="N19" i="2"/>
  <c r="B80" i="5"/>
  <c r="N80" i="5" s="1"/>
  <c r="B77" i="5"/>
  <c r="N77" i="5" s="1"/>
  <c r="G22" i="2"/>
  <c r="F70" i="2"/>
  <c r="F71" i="2" s="1"/>
  <c r="C70" i="2"/>
  <c r="C71" i="2" s="1"/>
  <c r="G24" i="2"/>
  <c r="L71" i="7"/>
  <c r="L72" i="7" s="1"/>
  <c r="C71" i="7"/>
  <c r="C72" i="7" s="1"/>
  <c r="D71" i="7"/>
  <c r="D72" i="7" s="1"/>
  <c r="J71" i="7"/>
  <c r="J72" i="7" s="1"/>
  <c r="K71" i="7"/>
  <c r="K72" i="7" s="1"/>
  <c r="E71" i="7"/>
  <c r="E72" i="7" s="1"/>
  <c r="I71" i="7"/>
  <c r="I72" i="7" s="1"/>
  <c r="H71" i="7"/>
  <c r="H72" i="7" s="1"/>
  <c r="M71" i="7"/>
  <c r="M72" i="7" s="1"/>
  <c r="G71" i="7"/>
  <c r="G72" i="7" s="1"/>
  <c r="F71" i="7"/>
  <c r="F72" i="7" s="1"/>
  <c r="D70" i="6"/>
  <c r="D71" i="6" s="1"/>
  <c r="F70" i="6"/>
  <c r="F71" i="6" s="1"/>
  <c r="H70" i="6"/>
  <c r="H71" i="6" s="1"/>
  <c r="G70" i="6"/>
  <c r="G71" i="6" s="1"/>
  <c r="E70" i="6"/>
  <c r="E71" i="6" s="1"/>
  <c r="L70" i="6"/>
  <c r="L71" i="6" s="1"/>
  <c r="J70" i="6"/>
  <c r="J71" i="6" s="1"/>
  <c r="M70" i="6"/>
  <c r="M71" i="6" s="1"/>
  <c r="M70" i="5"/>
  <c r="M71" i="5" s="1"/>
  <c r="K70" i="5"/>
  <c r="K71" i="5" s="1"/>
  <c r="L70" i="5"/>
  <c r="L71" i="5" s="1"/>
  <c r="G70" i="5"/>
  <c r="G71" i="5" s="1"/>
  <c r="J70" i="5"/>
  <c r="J71" i="5" s="1"/>
  <c r="D70" i="5"/>
  <c r="D71" i="5" s="1"/>
  <c r="I70" i="5"/>
  <c r="I71" i="5" s="1"/>
  <c r="F70" i="5"/>
  <c r="F71" i="5" s="1"/>
  <c r="B76" i="5"/>
  <c r="N76" i="5" s="1"/>
  <c r="B79" i="5"/>
  <c r="N79" i="5" s="1"/>
  <c r="N26" i="7"/>
  <c r="N21" i="2"/>
  <c r="C41" i="2"/>
  <c r="E41" i="5"/>
  <c r="E43" i="5" s="1"/>
  <c r="F41" i="5"/>
  <c r="F43" i="5" s="1"/>
  <c r="B22" i="6"/>
  <c r="N34" i="2"/>
  <c r="C41" i="5"/>
  <c r="C43" i="5" s="1"/>
  <c r="H41" i="5"/>
  <c r="H43" i="5" s="1"/>
  <c r="B22" i="7"/>
  <c r="D41" i="5"/>
  <c r="D43" i="5" s="1"/>
  <c r="S54" i="7"/>
  <c r="S53" i="6"/>
  <c r="T53" i="6" s="1"/>
  <c r="I41" i="5"/>
  <c r="I43" i="5" s="1"/>
  <c r="E41" i="2"/>
  <c r="B24" i="2"/>
  <c r="B24" i="7"/>
  <c r="N24" i="7" s="1"/>
  <c r="B24" i="6"/>
  <c r="N24" i="6" s="1"/>
  <c r="J41" i="5"/>
  <c r="J43" i="5" s="1"/>
  <c r="G41" i="5"/>
  <c r="G43" i="5" s="1"/>
  <c r="L41" i="5"/>
  <c r="L43" i="5" s="1"/>
  <c r="F26" i="2"/>
  <c r="F75" i="2" s="1"/>
  <c r="D41" i="2"/>
  <c r="N23" i="7"/>
  <c r="M41" i="5"/>
  <c r="M43" i="5" s="1"/>
  <c r="B22" i="2"/>
  <c r="N18" i="2"/>
  <c r="F61" i="5"/>
  <c r="J61" i="5"/>
  <c r="L61" i="5"/>
  <c r="D61" i="5"/>
  <c r="G61" i="5"/>
  <c r="C61" i="5"/>
  <c r="N80" i="2"/>
  <c r="N68" i="2"/>
  <c r="Q54" i="2" s="1"/>
  <c r="N65" i="2"/>
  <c r="N66" i="2"/>
  <c r="Q52" i="2" s="1"/>
  <c r="N67" i="2"/>
  <c r="Q53" i="2" s="1"/>
  <c r="N69" i="2"/>
  <c r="Q55" i="2" s="1"/>
  <c r="B56" i="5"/>
  <c r="N65" i="5"/>
  <c r="Q51" i="5" s="1"/>
  <c r="N68" i="5"/>
  <c r="Q54" i="5" s="1"/>
  <c r="B59" i="5"/>
  <c r="K61" i="5"/>
  <c r="B60" i="5"/>
  <c r="N69" i="5"/>
  <c r="Q55" i="5" s="1"/>
  <c r="B58" i="5"/>
  <c r="N67" i="5"/>
  <c r="Q53" i="5" s="1"/>
  <c r="H61" i="5"/>
  <c r="I61" i="5"/>
  <c r="E61" i="5"/>
  <c r="M61" i="5"/>
  <c r="N65" i="6"/>
  <c r="Q51" i="6" s="1"/>
  <c r="N66" i="6"/>
  <c r="Q52" i="6" s="1"/>
  <c r="N68" i="6"/>
  <c r="Q54" i="6" s="1"/>
  <c r="N69" i="7"/>
  <c r="Q55" i="7" s="1"/>
  <c r="N66" i="7"/>
  <c r="Q52" i="7" s="1"/>
  <c r="N67" i="7"/>
  <c r="Q53" i="7" s="1"/>
  <c r="G10" i="2"/>
  <c r="G23" i="2" s="1"/>
  <c r="B75" i="6" l="1"/>
  <c r="B76" i="7"/>
  <c r="N76" i="7" s="1"/>
  <c r="B75" i="2"/>
  <c r="Q51" i="2"/>
  <c r="S55" i="1"/>
  <c r="T55" i="1" s="1"/>
  <c r="D15" i="6"/>
  <c r="D56" i="6" s="1"/>
  <c r="O78" i="5"/>
  <c r="L15" i="2"/>
  <c r="F15" i="2"/>
  <c r="D15" i="2"/>
  <c r="C15" i="7"/>
  <c r="C81" i="7" s="1"/>
  <c r="F15" i="7"/>
  <c r="F60" i="7" s="1"/>
  <c r="L15" i="6"/>
  <c r="L60" i="6" s="1"/>
  <c r="H15" i="6"/>
  <c r="H77" i="6" s="1"/>
  <c r="F15" i="6"/>
  <c r="F59" i="6" s="1"/>
  <c r="C15" i="6"/>
  <c r="C76" i="6" s="1"/>
  <c r="E15" i="6"/>
  <c r="K15" i="6"/>
  <c r="M15" i="6"/>
  <c r="I15" i="6"/>
  <c r="G15" i="6"/>
  <c r="H15" i="7"/>
  <c r="H77" i="7" s="1"/>
  <c r="K15" i="7"/>
  <c r="D15" i="7"/>
  <c r="L15" i="7"/>
  <c r="I15" i="7"/>
  <c r="M15" i="7"/>
  <c r="G15" i="7"/>
  <c r="E15" i="7"/>
  <c r="J15" i="7"/>
  <c r="S55" i="6"/>
  <c r="T55" i="6" s="1"/>
  <c r="S56" i="7"/>
  <c r="T56" i="7" s="1"/>
  <c r="E15" i="1"/>
  <c r="G15" i="1"/>
  <c r="L15" i="1"/>
  <c r="J15" i="1"/>
  <c r="F15" i="1"/>
  <c r="I15" i="1"/>
  <c r="D15" i="1"/>
  <c r="C22" i="1"/>
  <c r="K15" i="1"/>
  <c r="C15" i="1"/>
  <c r="M15" i="1"/>
  <c r="H15" i="1"/>
  <c r="S53" i="1"/>
  <c r="T53" i="1" s="1"/>
  <c r="B49" i="5"/>
  <c r="C81" i="5"/>
  <c r="J81" i="5"/>
  <c r="G81" i="5"/>
  <c r="L81" i="5"/>
  <c r="H81" i="5"/>
  <c r="M81" i="5"/>
  <c r="I81" i="5"/>
  <c r="F81" i="5"/>
  <c r="E81" i="5"/>
  <c r="D81" i="5"/>
  <c r="K81" i="5"/>
  <c r="G70" i="2"/>
  <c r="G71" i="2" s="1"/>
  <c r="N22" i="7"/>
  <c r="N41" i="7" s="1"/>
  <c r="B71" i="7"/>
  <c r="B72" i="7" s="1"/>
  <c r="N22" i="6"/>
  <c r="N41" i="6" s="1"/>
  <c r="B70" i="6"/>
  <c r="N70" i="6" s="1"/>
  <c r="N24" i="2"/>
  <c r="N22" i="2"/>
  <c r="B70" i="2"/>
  <c r="B71" i="2" s="1"/>
  <c r="S51" i="2"/>
  <c r="S53" i="2"/>
  <c r="S55" i="2"/>
  <c r="S53" i="7"/>
  <c r="T53" i="7" s="1"/>
  <c r="S52" i="7"/>
  <c r="T52" i="7" s="1"/>
  <c r="S54" i="2"/>
  <c r="S55" i="7"/>
  <c r="T54" i="7"/>
  <c r="S53" i="5"/>
  <c r="S51" i="6"/>
  <c r="T51" i="6" s="1"/>
  <c r="S54" i="6"/>
  <c r="T54" i="6" s="1"/>
  <c r="S54" i="5"/>
  <c r="S55" i="5"/>
  <c r="S52" i="6"/>
  <c r="T52" i="6" s="1"/>
  <c r="S51" i="5"/>
  <c r="B41" i="2"/>
  <c r="B41" i="6"/>
  <c r="B41" i="7"/>
  <c r="F41" i="2"/>
  <c r="G26" i="2"/>
  <c r="G75" i="2" s="1"/>
  <c r="O76" i="5"/>
  <c r="O79" i="5"/>
  <c r="O80" i="5"/>
  <c r="O77" i="5"/>
  <c r="H10" i="2"/>
  <c r="H23" i="2" s="1"/>
  <c r="C70" i="1" l="1"/>
  <c r="C71" i="1" s="1"/>
  <c r="C75" i="1"/>
  <c r="D77" i="6"/>
  <c r="D58" i="6"/>
  <c r="H70" i="2"/>
  <c r="H71" i="2" s="1"/>
  <c r="D60" i="6"/>
  <c r="D59" i="6"/>
  <c r="D57" i="6"/>
  <c r="D61" i="6" s="1"/>
  <c r="I79" i="1"/>
  <c r="I76" i="1"/>
  <c r="I78" i="1"/>
  <c r="M78" i="1"/>
  <c r="M76" i="1"/>
  <c r="M79" i="1"/>
  <c r="L58" i="1"/>
  <c r="L79" i="1"/>
  <c r="L76" i="1"/>
  <c r="L78" i="1"/>
  <c r="D79" i="1"/>
  <c r="D76" i="1"/>
  <c r="D78" i="1"/>
  <c r="J77" i="1"/>
  <c r="J78" i="1"/>
  <c r="J79" i="1"/>
  <c r="J76" i="1"/>
  <c r="C76" i="1"/>
  <c r="C78" i="1"/>
  <c r="C79" i="1"/>
  <c r="K76" i="1"/>
  <c r="K78" i="1"/>
  <c r="K79" i="1"/>
  <c r="E58" i="1"/>
  <c r="E78" i="1"/>
  <c r="E79" i="1"/>
  <c r="E76" i="1"/>
  <c r="F79" i="1"/>
  <c r="F76" i="1"/>
  <c r="F78" i="1"/>
  <c r="H76" i="1"/>
  <c r="H78" i="1"/>
  <c r="H79" i="1"/>
  <c r="G76" i="1"/>
  <c r="G78" i="1"/>
  <c r="G79" i="1"/>
  <c r="F43" i="7"/>
  <c r="C77" i="7"/>
  <c r="C60" i="7"/>
  <c r="C79" i="7"/>
  <c r="C58" i="7"/>
  <c r="C43" i="7"/>
  <c r="C78" i="7"/>
  <c r="C57" i="7"/>
  <c r="C59" i="7"/>
  <c r="C80" i="7"/>
  <c r="C61" i="7"/>
  <c r="D78" i="6"/>
  <c r="D76" i="6"/>
  <c r="D80" i="6"/>
  <c r="D43" i="6"/>
  <c r="D79" i="6"/>
  <c r="H79" i="6"/>
  <c r="H78" i="6"/>
  <c r="L59" i="1"/>
  <c r="L80" i="1"/>
  <c r="L77" i="1"/>
  <c r="E57" i="1"/>
  <c r="G58" i="1"/>
  <c r="E80" i="1"/>
  <c r="G60" i="1"/>
  <c r="G77" i="1"/>
  <c r="E77" i="1"/>
  <c r="G57" i="1"/>
  <c r="E59" i="1"/>
  <c r="G80" i="1"/>
  <c r="E60" i="1"/>
  <c r="G59" i="1"/>
  <c r="C15" i="2"/>
  <c r="C79" i="2" s="1"/>
  <c r="I15" i="2"/>
  <c r="I78" i="2" s="1"/>
  <c r="K15" i="2"/>
  <c r="F43" i="2"/>
  <c r="F78" i="2"/>
  <c r="F59" i="2"/>
  <c r="F79" i="2"/>
  <c r="F58" i="2"/>
  <c r="F56" i="2"/>
  <c r="F76" i="2"/>
  <c r="F60" i="2"/>
  <c r="F77" i="2"/>
  <c r="F57" i="2"/>
  <c r="H15" i="2"/>
  <c r="D43" i="2"/>
  <c r="D60" i="2"/>
  <c r="D76" i="2"/>
  <c r="D58" i="2"/>
  <c r="D56" i="2"/>
  <c r="D79" i="2"/>
  <c r="D57" i="2"/>
  <c r="D77" i="2"/>
  <c r="D78" i="2"/>
  <c r="D59" i="2"/>
  <c r="G15" i="2"/>
  <c r="E15" i="2"/>
  <c r="L56" i="2"/>
  <c r="L58" i="2"/>
  <c r="L76" i="2"/>
  <c r="L59" i="2"/>
  <c r="L77" i="2"/>
  <c r="L57" i="2"/>
  <c r="L78" i="2"/>
  <c r="L79" i="2"/>
  <c r="L60" i="2"/>
  <c r="M15" i="2"/>
  <c r="J15" i="2"/>
  <c r="F43" i="6"/>
  <c r="H59" i="6"/>
  <c r="H56" i="6"/>
  <c r="F59" i="7"/>
  <c r="F79" i="7"/>
  <c r="L78" i="6"/>
  <c r="F78" i="7"/>
  <c r="L77" i="6"/>
  <c r="F61" i="7"/>
  <c r="C77" i="6"/>
  <c r="F81" i="7"/>
  <c r="F58" i="7"/>
  <c r="C60" i="6"/>
  <c r="F57" i="7"/>
  <c r="F80" i="7"/>
  <c r="F77" i="7"/>
  <c r="B15" i="7"/>
  <c r="B61" i="7" s="1"/>
  <c r="L56" i="6"/>
  <c r="L59" i="6"/>
  <c r="L79" i="6"/>
  <c r="L80" i="6"/>
  <c r="L57" i="6"/>
  <c r="F79" i="6"/>
  <c r="L58" i="6"/>
  <c r="L43" i="6"/>
  <c r="F60" i="6"/>
  <c r="L76" i="6"/>
  <c r="F78" i="6"/>
  <c r="H58" i="6"/>
  <c r="H60" i="6"/>
  <c r="H43" i="6"/>
  <c r="H80" i="6"/>
  <c r="H57" i="6"/>
  <c r="C79" i="6"/>
  <c r="C57" i="6"/>
  <c r="C56" i="6"/>
  <c r="F56" i="6"/>
  <c r="C78" i="6"/>
  <c r="C43" i="6"/>
  <c r="F76" i="6"/>
  <c r="C59" i="6"/>
  <c r="C80" i="6"/>
  <c r="F80" i="6"/>
  <c r="C58" i="6"/>
  <c r="F58" i="6"/>
  <c r="F77" i="6"/>
  <c r="F57" i="6"/>
  <c r="H76" i="6"/>
  <c r="H58" i="7"/>
  <c r="H57" i="7"/>
  <c r="H81" i="7"/>
  <c r="H80" i="7"/>
  <c r="G43" i="6"/>
  <c r="G76" i="6"/>
  <c r="G60" i="6"/>
  <c r="G78" i="6"/>
  <c r="G59" i="6"/>
  <c r="G77" i="6"/>
  <c r="G80" i="6"/>
  <c r="G56" i="6"/>
  <c r="G79" i="6"/>
  <c r="G57" i="6"/>
  <c r="G58" i="6"/>
  <c r="H79" i="7"/>
  <c r="H78" i="7"/>
  <c r="J15" i="6"/>
  <c r="E43" i="6"/>
  <c r="E76" i="6"/>
  <c r="E79" i="6"/>
  <c r="E58" i="6"/>
  <c r="E57" i="6"/>
  <c r="E78" i="6"/>
  <c r="E80" i="6"/>
  <c r="E56" i="6"/>
  <c r="E77" i="6"/>
  <c r="E60" i="6"/>
  <c r="E59" i="6"/>
  <c r="H60" i="7"/>
  <c r="M43" i="6"/>
  <c r="M77" i="6"/>
  <c r="M59" i="6"/>
  <c r="M60" i="6"/>
  <c r="M58" i="6"/>
  <c r="M78" i="6"/>
  <c r="M57" i="6"/>
  <c r="M56" i="6"/>
  <c r="M80" i="6"/>
  <c r="M76" i="6"/>
  <c r="M79" i="6"/>
  <c r="H59" i="7"/>
  <c r="H43" i="7"/>
  <c r="I43" i="6"/>
  <c r="I79" i="6"/>
  <c r="I80" i="6"/>
  <c r="I57" i="6"/>
  <c r="I77" i="6"/>
  <c r="I58" i="6"/>
  <c r="I78" i="6"/>
  <c r="I56" i="6"/>
  <c r="I60" i="6"/>
  <c r="I76" i="6"/>
  <c r="I59" i="6"/>
  <c r="K43" i="6"/>
  <c r="K77" i="6"/>
  <c r="K59" i="6"/>
  <c r="K79" i="6"/>
  <c r="K56" i="6"/>
  <c r="K76" i="6"/>
  <c r="K78" i="6"/>
  <c r="K80" i="6"/>
  <c r="K57" i="6"/>
  <c r="K58" i="6"/>
  <c r="K60" i="6"/>
  <c r="H61" i="7"/>
  <c r="B15" i="6"/>
  <c r="I43" i="7"/>
  <c r="I60" i="7"/>
  <c r="I81" i="7"/>
  <c r="I57" i="7"/>
  <c r="I77" i="7"/>
  <c r="I59" i="7"/>
  <c r="I78" i="7"/>
  <c r="I79" i="7"/>
  <c r="I80" i="7"/>
  <c r="I61" i="7"/>
  <c r="I58" i="7"/>
  <c r="E43" i="7"/>
  <c r="E80" i="7"/>
  <c r="E61" i="7"/>
  <c r="E79" i="7"/>
  <c r="E78" i="7"/>
  <c r="E57" i="7"/>
  <c r="E60" i="7"/>
  <c r="E81" i="7"/>
  <c r="E59" i="7"/>
  <c r="E58" i="7"/>
  <c r="E77" i="7"/>
  <c r="L43" i="7"/>
  <c r="L80" i="7"/>
  <c r="L79" i="7"/>
  <c r="L58" i="7"/>
  <c r="L59" i="7"/>
  <c r="L61" i="7"/>
  <c r="L81" i="7"/>
  <c r="L57" i="7"/>
  <c r="L78" i="7"/>
  <c r="L77" i="7"/>
  <c r="L60" i="7"/>
  <c r="J43" i="7"/>
  <c r="J77" i="7"/>
  <c r="J58" i="7"/>
  <c r="J80" i="7"/>
  <c r="J61" i="7"/>
  <c r="J59" i="7"/>
  <c r="J79" i="7"/>
  <c r="J78" i="7"/>
  <c r="J81" i="7"/>
  <c r="J57" i="7"/>
  <c r="J60" i="7"/>
  <c r="G43" i="7"/>
  <c r="G81" i="7"/>
  <c r="G59" i="7"/>
  <c r="G80" i="7"/>
  <c r="G58" i="7"/>
  <c r="G57" i="7"/>
  <c r="G60" i="7"/>
  <c r="G61" i="7"/>
  <c r="G77" i="7"/>
  <c r="G79" i="7"/>
  <c r="G78" i="7"/>
  <c r="M43" i="7"/>
  <c r="M81" i="7"/>
  <c r="M80" i="7"/>
  <c r="M60" i="7"/>
  <c r="M59" i="7"/>
  <c r="M79" i="7"/>
  <c r="M78" i="7"/>
  <c r="M77" i="7"/>
  <c r="M58" i="7"/>
  <c r="M61" i="7"/>
  <c r="M57" i="7"/>
  <c r="K43" i="7"/>
  <c r="K79" i="7"/>
  <c r="K58" i="7"/>
  <c r="K59" i="7"/>
  <c r="K61" i="7"/>
  <c r="K78" i="7"/>
  <c r="K60" i="7"/>
  <c r="K77" i="7"/>
  <c r="K80" i="7"/>
  <c r="K57" i="7"/>
  <c r="K81" i="7"/>
  <c r="D43" i="7"/>
  <c r="D80" i="7"/>
  <c r="D59" i="7"/>
  <c r="D61" i="7"/>
  <c r="D57" i="7"/>
  <c r="D60" i="7"/>
  <c r="D77" i="7"/>
  <c r="D81" i="7"/>
  <c r="D58" i="7"/>
  <c r="D78" i="7"/>
  <c r="D79" i="7"/>
  <c r="L57" i="1"/>
  <c r="J57" i="1"/>
  <c r="J58" i="1"/>
  <c r="J59" i="1"/>
  <c r="J80" i="1"/>
  <c r="C41" i="1"/>
  <c r="C43" i="1" s="1"/>
  <c r="K60" i="1"/>
  <c r="K56" i="1"/>
  <c r="K24" i="1"/>
  <c r="K22" i="1"/>
  <c r="H56" i="1"/>
  <c r="F60" i="1"/>
  <c r="F58" i="1"/>
  <c r="F57" i="1"/>
  <c r="F59" i="1"/>
  <c r="F80" i="1"/>
  <c r="F77" i="1"/>
  <c r="E22" i="1"/>
  <c r="D80" i="1"/>
  <c r="D77" i="1"/>
  <c r="D57" i="1"/>
  <c r="D59" i="1"/>
  <c r="D60" i="1"/>
  <c r="D58" i="1"/>
  <c r="I59" i="1"/>
  <c r="I58" i="1"/>
  <c r="I80" i="1"/>
  <c r="I77" i="1"/>
  <c r="I57" i="1"/>
  <c r="G22" i="1"/>
  <c r="C59" i="1"/>
  <c r="C60" i="1"/>
  <c r="C80" i="1"/>
  <c r="C57" i="1"/>
  <c r="C58" i="1"/>
  <c r="C77" i="1"/>
  <c r="I60" i="1"/>
  <c r="H22" i="1"/>
  <c r="H24" i="1"/>
  <c r="D22" i="1"/>
  <c r="F56" i="1"/>
  <c r="K59" i="1"/>
  <c r="K58" i="1"/>
  <c r="K57" i="1"/>
  <c r="K77" i="1"/>
  <c r="K80" i="1"/>
  <c r="I56" i="1"/>
  <c r="M56" i="1"/>
  <c r="D56" i="1"/>
  <c r="F22" i="1"/>
  <c r="J56" i="1"/>
  <c r="L60" i="1"/>
  <c r="B15" i="1"/>
  <c r="L22" i="1"/>
  <c r="L24" i="1"/>
  <c r="H59" i="1"/>
  <c r="H58" i="1"/>
  <c r="H57" i="1"/>
  <c r="H80" i="1"/>
  <c r="H77" i="1"/>
  <c r="C56" i="1"/>
  <c r="I24" i="1"/>
  <c r="I22" i="1"/>
  <c r="M60" i="1"/>
  <c r="J60" i="1"/>
  <c r="L56" i="1"/>
  <c r="E56" i="1"/>
  <c r="G56" i="1"/>
  <c r="N69" i="1"/>
  <c r="H60" i="1"/>
  <c r="M80" i="1"/>
  <c r="M59" i="1"/>
  <c r="M77" i="1"/>
  <c r="M57" i="1"/>
  <c r="M58" i="1"/>
  <c r="M24" i="1"/>
  <c r="M22" i="1"/>
  <c r="J22" i="1"/>
  <c r="J24" i="1"/>
  <c r="N71" i="7"/>
  <c r="B71" i="6"/>
  <c r="T51" i="2"/>
  <c r="T55" i="2"/>
  <c r="T53" i="2"/>
  <c r="T55" i="7"/>
  <c r="T54" i="2"/>
  <c r="T54" i="5"/>
  <c r="T51" i="5"/>
  <c r="T53" i="5"/>
  <c r="G41" i="2"/>
  <c r="H26" i="2"/>
  <c r="H75" i="2" s="1"/>
  <c r="N72" i="7"/>
  <c r="I10" i="2"/>
  <c r="I23" i="2" s="1"/>
  <c r="K75" i="1" l="1"/>
  <c r="I75" i="1"/>
  <c r="M75" i="1"/>
  <c r="F70" i="1"/>
  <c r="F71" i="1" s="1"/>
  <c r="F75" i="1"/>
  <c r="F81" i="1" s="1"/>
  <c r="D70" i="1"/>
  <c r="D71" i="1" s="1"/>
  <c r="D75" i="1"/>
  <c r="D81" i="1" s="1"/>
  <c r="J75" i="1"/>
  <c r="L75" i="1"/>
  <c r="H75" i="1"/>
  <c r="G70" i="1"/>
  <c r="G71" i="1" s="1"/>
  <c r="G75" i="1"/>
  <c r="G81" i="1" s="1"/>
  <c r="E70" i="1"/>
  <c r="E71" i="1" s="1"/>
  <c r="E75" i="1"/>
  <c r="E81" i="1" s="1"/>
  <c r="B77" i="7"/>
  <c r="N77" i="7" s="1"/>
  <c r="D49" i="6"/>
  <c r="C82" i="7"/>
  <c r="I70" i="2"/>
  <c r="I71" i="2" s="1"/>
  <c r="B79" i="1"/>
  <c r="N79" i="1" s="1"/>
  <c r="B78" i="1"/>
  <c r="B76" i="1"/>
  <c r="K81" i="6"/>
  <c r="M81" i="6"/>
  <c r="C60" i="2"/>
  <c r="C59" i="2"/>
  <c r="C76" i="2"/>
  <c r="C49" i="2" s="1"/>
  <c r="C78" i="2"/>
  <c r="C43" i="2"/>
  <c r="C77" i="2"/>
  <c r="C56" i="2"/>
  <c r="K49" i="1"/>
  <c r="C62" i="7"/>
  <c r="C49" i="7"/>
  <c r="C81" i="6"/>
  <c r="I81" i="6"/>
  <c r="L81" i="6"/>
  <c r="E81" i="6"/>
  <c r="G81" i="6"/>
  <c r="H81" i="6"/>
  <c r="F81" i="6"/>
  <c r="D81" i="6"/>
  <c r="D49" i="1"/>
  <c r="L49" i="2"/>
  <c r="L49" i="1"/>
  <c r="F49" i="1"/>
  <c r="G49" i="1"/>
  <c r="M49" i="1"/>
  <c r="J49" i="1"/>
  <c r="E49" i="1"/>
  <c r="C57" i="2"/>
  <c r="H49" i="1"/>
  <c r="I49" i="1"/>
  <c r="F49" i="2"/>
  <c r="D49" i="2"/>
  <c r="I59" i="2"/>
  <c r="C58" i="2"/>
  <c r="F49" i="7"/>
  <c r="F62" i="7"/>
  <c r="G61" i="1"/>
  <c r="I79" i="2"/>
  <c r="E61" i="1"/>
  <c r="I60" i="2"/>
  <c r="I77" i="2"/>
  <c r="C49" i="1"/>
  <c r="I58" i="2"/>
  <c r="I56" i="2"/>
  <c r="I57" i="2"/>
  <c r="F81" i="2"/>
  <c r="I76" i="2"/>
  <c r="J78" i="2"/>
  <c r="J56" i="2"/>
  <c r="J76" i="2"/>
  <c r="J60" i="2"/>
  <c r="J59" i="2"/>
  <c r="J57" i="2"/>
  <c r="J77" i="2"/>
  <c r="J58" i="2"/>
  <c r="J79" i="2"/>
  <c r="F61" i="2"/>
  <c r="K57" i="2"/>
  <c r="K58" i="2"/>
  <c r="K77" i="2"/>
  <c r="K59" i="2"/>
  <c r="K76" i="2"/>
  <c r="K78" i="2"/>
  <c r="K60" i="2"/>
  <c r="K56" i="2"/>
  <c r="K79" i="2"/>
  <c r="M77" i="2"/>
  <c r="M60" i="2"/>
  <c r="M76" i="2"/>
  <c r="M56" i="2"/>
  <c r="M59" i="2"/>
  <c r="M57" i="2"/>
  <c r="M58" i="2"/>
  <c r="M78" i="2"/>
  <c r="M79" i="2"/>
  <c r="H77" i="2"/>
  <c r="H58" i="2"/>
  <c r="H78" i="2"/>
  <c r="H76" i="2"/>
  <c r="H57" i="2"/>
  <c r="H79" i="2"/>
  <c r="H59" i="2"/>
  <c r="H56" i="2"/>
  <c r="H60" i="2"/>
  <c r="G43" i="2"/>
  <c r="G78" i="2"/>
  <c r="G76" i="2"/>
  <c r="G57" i="2"/>
  <c r="G79" i="2"/>
  <c r="G60" i="2"/>
  <c r="G59" i="2"/>
  <c r="G58" i="2"/>
  <c r="G77" i="2"/>
  <c r="G56" i="2"/>
  <c r="D81" i="2"/>
  <c r="B15" i="2"/>
  <c r="L61" i="2"/>
  <c r="E43" i="2"/>
  <c r="E79" i="2"/>
  <c r="E77" i="2"/>
  <c r="E58" i="2"/>
  <c r="E57" i="2"/>
  <c r="E76" i="2"/>
  <c r="E78" i="2"/>
  <c r="E56" i="2"/>
  <c r="E59" i="2"/>
  <c r="E60" i="2"/>
  <c r="D61" i="2"/>
  <c r="L49" i="6"/>
  <c r="H49" i="6"/>
  <c r="F82" i="7"/>
  <c r="B80" i="7"/>
  <c r="N80" i="7" s="1"/>
  <c r="B59" i="7"/>
  <c r="L61" i="6"/>
  <c r="B60" i="7"/>
  <c r="B57" i="7"/>
  <c r="B78" i="7"/>
  <c r="N78" i="7" s="1"/>
  <c r="B79" i="7"/>
  <c r="B81" i="7"/>
  <c r="N81" i="7" s="1"/>
  <c r="B43" i="7"/>
  <c r="B58" i="7"/>
  <c r="F61" i="6"/>
  <c r="H61" i="6"/>
  <c r="F49" i="6"/>
  <c r="C61" i="6"/>
  <c r="C49" i="6"/>
  <c r="H62" i="7"/>
  <c r="H49" i="7"/>
  <c r="K61" i="6"/>
  <c r="N15" i="7"/>
  <c r="N43" i="7" s="1"/>
  <c r="H82" i="7"/>
  <c r="E61" i="6"/>
  <c r="I61" i="6"/>
  <c r="M49" i="6"/>
  <c r="J43" i="6"/>
  <c r="J78" i="6"/>
  <c r="J59" i="6"/>
  <c r="J80" i="6"/>
  <c r="J76" i="6"/>
  <c r="J58" i="6"/>
  <c r="J77" i="6"/>
  <c r="J57" i="6"/>
  <c r="J56" i="6"/>
  <c r="J60" i="6"/>
  <c r="J79" i="6"/>
  <c r="G49" i="6"/>
  <c r="I49" i="6"/>
  <c r="K49" i="6"/>
  <c r="B43" i="6"/>
  <c r="B77" i="6"/>
  <c r="B58" i="6"/>
  <c r="B60" i="6"/>
  <c r="B56" i="6"/>
  <c r="B79" i="6"/>
  <c r="B76" i="6"/>
  <c r="B78" i="6"/>
  <c r="B80" i="6"/>
  <c r="N15" i="6"/>
  <c r="B59" i="6"/>
  <c r="B57" i="6"/>
  <c r="E49" i="6"/>
  <c r="M61" i="6"/>
  <c r="G61" i="6"/>
  <c r="L62" i="7"/>
  <c r="D49" i="7"/>
  <c r="D82" i="7"/>
  <c r="G62" i="7"/>
  <c r="E49" i="7"/>
  <c r="E82" i="7"/>
  <c r="K62" i="7"/>
  <c r="I49" i="7"/>
  <c r="I82" i="7"/>
  <c r="L49" i="7"/>
  <c r="L82" i="7"/>
  <c r="D62" i="7"/>
  <c r="I62" i="7"/>
  <c r="M49" i="7"/>
  <c r="M82" i="7"/>
  <c r="K49" i="7"/>
  <c r="K82" i="7"/>
  <c r="J62" i="7"/>
  <c r="J49" i="7"/>
  <c r="J82" i="7"/>
  <c r="M62" i="7"/>
  <c r="G49" i="7"/>
  <c r="G82" i="7"/>
  <c r="E62" i="7"/>
  <c r="H41" i="2"/>
  <c r="H43" i="2" s="1"/>
  <c r="I41" i="1"/>
  <c r="I43" i="1" s="1"/>
  <c r="M41" i="1"/>
  <c r="M43" i="1" s="1"/>
  <c r="K70" i="1"/>
  <c r="K71" i="1" s="1"/>
  <c r="H70" i="1"/>
  <c r="H71" i="1" s="1"/>
  <c r="F41" i="1"/>
  <c r="F43" i="1" s="1"/>
  <c r="F61" i="1"/>
  <c r="C81" i="1"/>
  <c r="M70" i="1"/>
  <c r="M71" i="1" s="1"/>
  <c r="K41" i="1"/>
  <c r="K43" i="1" s="1"/>
  <c r="J70" i="1"/>
  <c r="J71" i="1" s="1"/>
  <c r="J61" i="1"/>
  <c r="H41" i="1"/>
  <c r="H43" i="1" s="1"/>
  <c r="L61" i="1"/>
  <c r="L70" i="1"/>
  <c r="L71" i="1" s="1"/>
  <c r="I70" i="1"/>
  <c r="I71" i="1" s="1"/>
  <c r="D61" i="1"/>
  <c r="D41" i="1"/>
  <c r="D43" i="1" s="1"/>
  <c r="G41" i="1"/>
  <c r="G43" i="1" s="1"/>
  <c r="H61" i="1"/>
  <c r="B80" i="1"/>
  <c r="N80" i="1" s="1"/>
  <c r="B77" i="1"/>
  <c r="N77" i="1" s="1"/>
  <c r="N78" i="1"/>
  <c r="B59" i="1"/>
  <c r="B57" i="1"/>
  <c r="B60" i="1"/>
  <c r="N15" i="1"/>
  <c r="N76" i="1" s="1"/>
  <c r="K61" i="1"/>
  <c r="C61" i="1"/>
  <c r="M61" i="1"/>
  <c r="J41" i="1"/>
  <c r="J43" i="1" s="1"/>
  <c r="Q56" i="1"/>
  <c r="S56" i="1"/>
  <c r="N24" i="1"/>
  <c r="E41" i="1"/>
  <c r="E43" i="1" s="1"/>
  <c r="L41" i="1"/>
  <c r="L43" i="1" s="1"/>
  <c r="I61" i="1"/>
  <c r="N71" i="6"/>
  <c r="N75" i="6"/>
  <c r="I26" i="2"/>
  <c r="I75" i="2" s="1"/>
  <c r="J10" i="2"/>
  <c r="J23" i="2" s="1"/>
  <c r="K81" i="1" l="1"/>
  <c r="I81" i="1"/>
  <c r="L81" i="1"/>
  <c r="M81" i="1"/>
  <c r="J81" i="1"/>
  <c r="H81" i="1"/>
  <c r="J70" i="2"/>
  <c r="J71" i="2" s="1"/>
  <c r="N78" i="6"/>
  <c r="O78" i="6" s="1"/>
  <c r="C81" i="2"/>
  <c r="C61" i="2"/>
  <c r="N80" i="6"/>
  <c r="O80" i="6" s="1"/>
  <c r="B81" i="6"/>
  <c r="J81" i="6"/>
  <c r="J49" i="2"/>
  <c r="H49" i="2"/>
  <c r="I49" i="2"/>
  <c r="G49" i="2"/>
  <c r="K49" i="2"/>
  <c r="E49" i="2"/>
  <c r="I61" i="2"/>
  <c r="O76" i="1"/>
  <c r="B49" i="1"/>
  <c r="G61" i="2"/>
  <c r="E61" i="2"/>
  <c r="E81" i="2"/>
  <c r="M61" i="2"/>
  <c r="G81" i="2"/>
  <c r="B43" i="2"/>
  <c r="B56" i="2"/>
  <c r="B77" i="2"/>
  <c r="N77" i="2" s="1"/>
  <c r="B76" i="2"/>
  <c r="B60" i="2"/>
  <c r="B78" i="2"/>
  <c r="N78" i="2" s="1"/>
  <c r="N15" i="2"/>
  <c r="B59" i="2"/>
  <c r="B57" i="2"/>
  <c r="B79" i="2"/>
  <c r="N79" i="2" s="1"/>
  <c r="B58" i="2"/>
  <c r="H61" i="2"/>
  <c r="J61" i="2"/>
  <c r="K61" i="2"/>
  <c r="H81" i="2"/>
  <c r="B62" i="7"/>
  <c r="B82" i="7"/>
  <c r="B49" i="7"/>
  <c r="N79" i="6"/>
  <c r="O79" i="6" s="1"/>
  <c r="N79" i="7"/>
  <c r="O79" i="7" s="1"/>
  <c r="O80" i="7"/>
  <c r="O77" i="7"/>
  <c r="O78" i="7"/>
  <c r="O81" i="7"/>
  <c r="B61" i="6"/>
  <c r="N77" i="6"/>
  <c r="O77" i="6" s="1"/>
  <c r="J49" i="6"/>
  <c r="N76" i="6"/>
  <c r="B49" i="6"/>
  <c r="N43" i="6"/>
  <c r="J61" i="6"/>
  <c r="I81" i="2"/>
  <c r="O80" i="1"/>
  <c r="O79" i="1"/>
  <c r="O78" i="1"/>
  <c r="O77" i="1"/>
  <c r="B22" i="1"/>
  <c r="N19" i="1"/>
  <c r="B58" i="1"/>
  <c r="N67" i="1"/>
  <c r="B56" i="1"/>
  <c r="B61" i="1" s="1"/>
  <c r="N65" i="1"/>
  <c r="T56" i="1"/>
  <c r="O75" i="6"/>
  <c r="J26" i="2"/>
  <c r="J75" i="2" s="1"/>
  <c r="I41" i="2"/>
  <c r="I43" i="2" s="1"/>
  <c r="O76" i="7"/>
  <c r="K10" i="2"/>
  <c r="K23" i="2" s="1"/>
  <c r="B41" i="1" l="1"/>
  <c r="N41" i="1" s="1"/>
  <c r="B75" i="1"/>
  <c r="N75" i="1" s="1"/>
  <c r="K70" i="2"/>
  <c r="K71" i="2" s="1"/>
  <c r="O76" i="6"/>
  <c r="O81" i="6" s="1"/>
  <c r="P71" i="6" s="1"/>
  <c r="N81" i="6"/>
  <c r="N82" i="7"/>
  <c r="O80" i="2"/>
  <c r="N76" i="2"/>
  <c r="O76" i="2" s="1"/>
  <c r="B49" i="2"/>
  <c r="B81" i="2"/>
  <c r="O78" i="2"/>
  <c r="O77" i="2"/>
  <c r="O79" i="2"/>
  <c r="B61" i="2"/>
  <c r="O82" i="7"/>
  <c r="P72" i="7" s="1"/>
  <c r="J81" i="2"/>
  <c r="B43" i="1"/>
  <c r="Q54" i="1"/>
  <c r="S54" i="1"/>
  <c r="Q52" i="1"/>
  <c r="S52" i="1"/>
  <c r="B70" i="1"/>
  <c r="N22" i="1"/>
  <c r="K26" i="2"/>
  <c r="K75" i="2" s="1"/>
  <c r="J41" i="2"/>
  <c r="J43" i="2" s="1"/>
  <c r="L10" i="2"/>
  <c r="L23" i="2" s="1"/>
  <c r="L70" i="2" l="1"/>
  <c r="L71" i="2" s="1"/>
  <c r="P73" i="7"/>
  <c r="R76" i="7"/>
  <c r="R79" i="7" s="1"/>
  <c r="P72" i="6"/>
  <c r="R75" i="6"/>
  <c r="R78" i="6" s="1"/>
  <c r="N43" i="1"/>
  <c r="B48" i="1"/>
  <c r="T54" i="1"/>
  <c r="N70" i="1"/>
  <c r="B71" i="1"/>
  <c r="T52" i="1"/>
  <c r="L26" i="2"/>
  <c r="L75" i="2" s="1"/>
  <c r="K41" i="2"/>
  <c r="K43" i="2" s="1"/>
  <c r="M10" i="2"/>
  <c r="M23" i="2" s="1"/>
  <c r="N6" i="2"/>
  <c r="S52" i="2" s="1"/>
  <c r="T52" i="2" s="1"/>
  <c r="S78" i="6" l="1"/>
  <c r="S76" i="7"/>
  <c r="S75" i="6"/>
  <c r="E50" i="7" s="1"/>
  <c r="S79" i="7"/>
  <c r="B51" i="1"/>
  <c r="C47" i="1" s="1"/>
  <c r="C48" i="1" s="1"/>
  <c r="L81" i="2"/>
  <c r="N71" i="1"/>
  <c r="K81" i="2"/>
  <c r="N23" i="2"/>
  <c r="M70" i="2"/>
  <c r="L41" i="2"/>
  <c r="L43" i="2" s="1"/>
  <c r="M26" i="2"/>
  <c r="M75" i="2" s="1"/>
  <c r="N10" i="2"/>
  <c r="C51" i="1" l="1"/>
  <c r="D47" i="1" s="1"/>
  <c r="D48" i="1" s="1"/>
  <c r="D51" i="1" s="1"/>
  <c r="E47" i="1" s="1"/>
  <c r="E48" i="1" s="1"/>
  <c r="E51" i="1" s="1"/>
  <c r="N26" i="2"/>
  <c r="B81" i="1"/>
  <c r="M71" i="2"/>
  <c r="N70" i="2"/>
  <c r="N71" i="2" s="1"/>
  <c r="M41" i="2"/>
  <c r="B66" i="5"/>
  <c r="B27" i="5"/>
  <c r="N27" i="5" s="1"/>
  <c r="B18" i="5"/>
  <c r="B10" i="5"/>
  <c r="B24" i="5" l="1"/>
  <c r="N24" i="5" s="1"/>
  <c r="F47" i="1"/>
  <c r="F48" i="1" s="1"/>
  <c r="F51" i="1" s="1"/>
  <c r="N41" i="2"/>
  <c r="N43" i="2" s="1"/>
  <c r="M43" i="2"/>
  <c r="N66" i="5"/>
  <c r="Q52" i="5" s="1"/>
  <c r="O75" i="1"/>
  <c r="O81" i="1" s="1"/>
  <c r="P71" i="1" s="1"/>
  <c r="N81" i="1"/>
  <c r="M49" i="2"/>
  <c r="B26" i="5"/>
  <c r="B23" i="5"/>
  <c r="N23" i="5" s="1"/>
  <c r="B22" i="5"/>
  <c r="N18" i="5"/>
  <c r="B57" i="5"/>
  <c r="B61" i="5" s="1"/>
  <c r="B75" i="5" l="1"/>
  <c r="P72" i="1"/>
  <c r="R75" i="1"/>
  <c r="R78" i="1" s="1"/>
  <c r="G47" i="1"/>
  <c r="G48" i="1" s="1"/>
  <c r="G51" i="1" s="1"/>
  <c r="S52" i="5"/>
  <c r="T52" i="5" s="1"/>
  <c r="N26" i="5"/>
  <c r="M81" i="2"/>
  <c r="N75" i="2"/>
  <c r="O75" i="2" s="1"/>
  <c r="O81" i="2" s="1"/>
  <c r="P71" i="2" s="1"/>
  <c r="N22" i="5"/>
  <c r="B70" i="5"/>
  <c r="N70" i="5" s="1"/>
  <c r="T55" i="5" s="1"/>
  <c r="B41" i="5"/>
  <c r="S78" i="1" l="1"/>
  <c r="S75" i="1"/>
  <c r="E50" i="2" s="1"/>
  <c r="P72" i="2"/>
  <c r="R75" i="2"/>
  <c r="R78" i="2" s="1"/>
  <c r="H47" i="1"/>
  <c r="H48" i="1" s="1"/>
  <c r="H51" i="1" s="1"/>
  <c r="N41" i="5"/>
  <c r="N43" i="5" s="1"/>
  <c r="B43" i="5"/>
  <c r="N81" i="2"/>
  <c r="B71" i="5"/>
  <c r="N71" i="5" s="1"/>
  <c r="S78" i="2" l="1"/>
  <c r="S75" i="2"/>
  <c r="E50" i="5" s="1"/>
  <c r="I47" i="1"/>
  <c r="I48" i="1" s="1"/>
  <c r="I51" i="1" s="1"/>
  <c r="N75" i="5"/>
  <c r="O75" i="5" s="1"/>
  <c r="O81" i="5" s="1"/>
  <c r="P71" i="5" s="1"/>
  <c r="P72" i="5" l="1"/>
  <c r="R75" i="5"/>
  <c r="R78" i="5" s="1"/>
  <c r="J47" i="1"/>
  <c r="J48" i="1" s="1"/>
  <c r="J51" i="1" s="1"/>
  <c r="B81" i="5"/>
  <c r="N81" i="5"/>
  <c r="S78" i="5" l="1"/>
  <c r="S75" i="5"/>
  <c r="E50" i="6" s="1"/>
  <c r="K47" i="1"/>
  <c r="K48" i="1" s="1"/>
  <c r="K51" i="1" s="1"/>
  <c r="L47" i="1" l="1"/>
  <c r="L48" i="1" s="1"/>
  <c r="L51" i="1" s="1"/>
  <c r="M47" i="1" l="1"/>
  <c r="M48" i="1" s="1"/>
  <c r="M51" i="1" s="1"/>
  <c r="B47" i="2" l="1"/>
  <c r="B48" i="2" s="1"/>
  <c r="B51" i="2" s="1"/>
  <c r="C47" i="2" s="1"/>
  <c r="C48" i="2" s="1"/>
  <c r="C51" i="2" s="1"/>
  <c r="D47" i="2" s="1"/>
  <c r="D48" i="2" s="1"/>
  <c r="D51" i="2" s="1"/>
  <c r="E47" i="2" s="1"/>
  <c r="E48" i="2" s="1"/>
  <c r="E51" i="2" s="1"/>
  <c r="F47" i="2" s="1"/>
  <c r="F48" i="2" l="1"/>
  <c r="F51" i="2" l="1"/>
  <c r="G47" i="2" s="1"/>
  <c r="G48" i="2" s="1"/>
  <c r="G51" i="2" l="1"/>
  <c r="H47" i="2" s="1"/>
  <c r="H48" i="2" s="1"/>
  <c r="H51" i="2" l="1"/>
  <c r="I47" i="2" s="1"/>
  <c r="I48" i="2" s="1"/>
  <c r="I51" i="2" l="1"/>
  <c r="J47" i="2" s="1"/>
  <c r="J48" i="2" s="1"/>
  <c r="J51" i="2" l="1"/>
  <c r="K47" i="2" s="1"/>
  <c r="K48" i="2" s="1"/>
  <c r="K51" i="2" l="1"/>
  <c r="L47" i="2" s="1"/>
  <c r="L48" i="2" s="1"/>
  <c r="L51" i="2" l="1"/>
  <c r="M47" i="2" s="1"/>
  <c r="M48" i="2" s="1"/>
  <c r="M51" i="2" s="1"/>
  <c r="B47" i="5" s="1"/>
  <c r="B48" i="5" s="1"/>
  <c r="B51" i="5" s="1"/>
  <c r="C47" i="5" l="1"/>
  <c r="C48" i="5" l="1"/>
  <c r="C51" i="5" s="1"/>
  <c r="D47" i="5" s="1"/>
  <c r="D48" i="5" s="1"/>
  <c r="D51" i="5" l="1"/>
  <c r="E47" i="5" s="1"/>
  <c r="E48" i="5" s="1"/>
  <c r="E51" i="5" l="1"/>
  <c r="F47" i="5" s="1"/>
  <c r="F48" i="5" s="1"/>
  <c r="F51" i="5" l="1"/>
  <c r="G47" i="5" s="1"/>
  <c r="G48" i="5" s="1"/>
  <c r="G51" i="5" l="1"/>
  <c r="H47" i="5" s="1"/>
  <c r="H48" i="5" s="1"/>
  <c r="H51" i="5" l="1"/>
  <c r="I47" i="5" s="1"/>
  <c r="I48" i="5" s="1"/>
  <c r="I51" i="5" l="1"/>
  <c r="J47" i="5" s="1"/>
  <c r="J48" i="5" s="1"/>
  <c r="J51" i="5" l="1"/>
  <c r="K47" i="5" s="1"/>
  <c r="K48" i="5" s="1"/>
  <c r="K51" i="5" l="1"/>
  <c r="L47" i="5" s="1"/>
  <c r="L48" i="5" s="1"/>
  <c r="L51" i="5" s="1"/>
  <c r="M47" i="5" s="1"/>
  <c r="M48" i="5" s="1"/>
  <c r="M51" i="5" l="1"/>
  <c r="B47" i="6" s="1"/>
  <c r="B48" i="6" l="1"/>
  <c r="B51" i="6" s="1"/>
  <c r="C47" i="6" s="1"/>
  <c r="C48" i="6" s="1"/>
  <c r="C51" i="6" s="1"/>
  <c r="D47" i="6" s="1"/>
  <c r="D48" i="6" s="1"/>
  <c r="D51" i="6" s="1"/>
  <c r="E47" i="6" s="1"/>
  <c r="E48" i="6" s="1"/>
  <c r="E51" i="6" s="1"/>
  <c r="F47" i="6" l="1"/>
  <c r="F48" i="6" s="1"/>
  <c r="F51" i="6" s="1"/>
  <c r="G47" i="6" l="1"/>
  <c r="G48" i="6" s="1"/>
  <c r="G51" i="6" s="1"/>
  <c r="H47" i="6" l="1"/>
  <c r="H48" i="6" s="1"/>
  <c r="H51" i="6" s="1"/>
  <c r="I47" i="6" l="1"/>
  <c r="I48" i="6" s="1"/>
  <c r="I51" i="6" s="1"/>
  <c r="J47" i="6" l="1"/>
  <c r="J48" i="6" s="1"/>
  <c r="J51" i="6" s="1"/>
  <c r="K47" i="6" l="1"/>
  <c r="K48" i="6" s="1"/>
  <c r="K51" i="6" s="1"/>
  <c r="L47" i="6" l="1"/>
  <c r="L48" i="6" s="1"/>
  <c r="L51" i="6" s="1"/>
  <c r="M47" i="6" l="1"/>
  <c r="M48" i="6" s="1"/>
  <c r="M51" i="6" s="1"/>
  <c r="B47" i="7" l="1"/>
  <c r="B48" i="7" l="1"/>
  <c r="B51" i="7" s="1"/>
  <c r="C47" i="7" s="1"/>
  <c r="C48" i="7" s="1"/>
  <c r="C51" i="7" s="1"/>
  <c r="D47" i="7" l="1"/>
  <c r="D48" i="7" s="1"/>
  <c r="D51" i="7" s="1"/>
  <c r="E47" i="7" l="1"/>
  <c r="E48" i="7" s="1"/>
  <c r="E51" i="7" s="1"/>
  <c r="F47" i="7" l="1"/>
  <c r="F48" i="7" s="1"/>
  <c r="F51" i="7" s="1"/>
  <c r="G47" i="7" l="1"/>
  <c r="G48" i="7" s="1"/>
  <c r="G51" i="7" s="1"/>
  <c r="H47" i="7" l="1"/>
  <c r="H48" i="7" s="1"/>
  <c r="H51" i="7" s="1"/>
  <c r="I47" i="7" l="1"/>
  <c r="I48" i="7" s="1"/>
  <c r="I51" i="7" s="1"/>
  <c r="J47" i="7" l="1"/>
  <c r="J48" i="7" s="1"/>
  <c r="J51" i="7" s="1"/>
  <c r="K47" i="7" l="1"/>
  <c r="K48" i="7" s="1"/>
  <c r="K51" i="7" s="1"/>
  <c r="L47" i="7" l="1"/>
  <c r="L48" i="7" s="1"/>
  <c r="L51" i="7" s="1"/>
  <c r="M47" i="7" l="1"/>
  <c r="M48" i="7" s="1"/>
  <c r="M51" i="7" s="1"/>
</calcChain>
</file>

<file path=xl/sharedStrings.xml><?xml version="1.0" encoding="utf-8"?>
<sst xmlns="http://schemas.openxmlformats.org/spreadsheetml/2006/main" count="539" uniqueCount="101">
  <si>
    <t>Month #</t>
  </si>
  <si>
    <t>CSO</t>
  </si>
  <si>
    <t>BC</t>
  </si>
  <si>
    <t>TSR</t>
  </si>
  <si>
    <t>TMM</t>
  </si>
  <si>
    <t>RSM</t>
  </si>
  <si>
    <t>REVENUE</t>
  </si>
  <si>
    <t>Cash Collect</t>
  </si>
  <si>
    <t>TOTAL</t>
  </si>
  <si>
    <t>COST OF SALES</t>
  </si>
  <si>
    <t>Salaries</t>
  </si>
  <si>
    <t>Leads</t>
  </si>
  <si>
    <t>CRM</t>
  </si>
  <si>
    <t>Recruiting Ads</t>
  </si>
  <si>
    <t>TSR Field Training</t>
  </si>
  <si>
    <t>TSR Per Diem</t>
  </si>
  <si>
    <t>TSR Car/Fuel Allowance</t>
  </si>
  <si>
    <t>TSR Phone Allowance</t>
  </si>
  <si>
    <t>CASH FLOW</t>
  </si>
  <si>
    <t>Balance Fwd</t>
  </si>
  <si>
    <t>Ending Balance</t>
  </si>
  <si>
    <t>Position</t>
  </si>
  <si>
    <t>Salary</t>
  </si>
  <si>
    <t># Mo Sales per TSR</t>
  </si>
  <si>
    <t>Survey Closing %</t>
  </si>
  <si>
    <t>ASSUMPTIONS</t>
  </si>
  <si>
    <t>Avg Hrs per Go</t>
  </si>
  <si>
    <t>Avg Rate per Hr</t>
  </si>
  <si>
    <t>Avg Survey Fee</t>
  </si>
  <si>
    <t>Payroll Burden (7.65%)</t>
  </si>
  <si>
    <t>SALES TEAM</t>
  </si>
  <si>
    <t>**Green boxes can be changed to modify forecast</t>
  </si>
  <si>
    <t>FRONT END SALES FORECAST</t>
  </si>
  <si>
    <t>GROSS SALES PROFIT/(LOSS)</t>
  </si>
  <si>
    <t>Survey Fees</t>
  </si>
  <si>
    <t>Comm %*</t>
  </si>
  <si>
    <t>Est. Sale Bonuses</t>
  </si>
  <si>
    <t>Est. Srvy Fee Bonus</t>
  </si>
  <si>
    <t>Commission</t>
  </si>
  <si>
    <t>Bonus</t>
  </si>
  <si>
    <t>TSR Hotel-2wk/mo travel</t>
  </si>
  <si>
    <t>Payroll As Percent</t>
  </si>
  <si>
    <t>Headcount Earnings</t>
  </si>
  <si>
    <t xml:space="preserve">     Payroll Burden</t>
  </si>
  <si>
    <t>%</t>
  </si>
  <si>
    <t>Net</t>
  </si>
  <si>
    <t>$ Net</t>
  </si>
  <si>
    <t>FE Sales (Survey Fee %)</t>
  </si>
  <si>
    <t>CFO Salary (1.25%)</t>
  </si>
  <si>
    <t>Admin/Operations (5%)</t>
  </si>
  <si>
    <t>Survey Fee%</t>
  </si>
  <si>
    <t>CFO Salary (1%)</t>
  </si>
  <si>
    <r>
      <t>FRONT END SALES FORECAST</t>
    </r>
    <r>
      <rPr>
        <i/>
        <sz val="11"/>
        <color theme="1"/>
        <rFont val="Calibri"/>
        <family val="2"/>
        <scheme val="minor"/>
      </rPr>
      <t xml:space="preserve"> (YR 5 Maintaining)</t>
    </r>
  </si>
  <si>
    <t>FE SALES HEAD COUNT</t>
  </si>
  <si>
    <t>CC Fees (Square/In-Field)</t>
  </si>
  <si>
    <t>$ Annual</t>
  </si>
  <si>
    <t>Total</t>
  </si>
  <si>
    <t>Retained Belfield</t>
  </si>
  <si>
    <t>Ownership Options</t>
  </si>
  <si>
    <t>Budget Snapshot (Estimated Company)</t>
  </si>
  <si>
    <t>Survey (includes Travel 25%)</t>
  </si>
  <si>
    <t>Benefit Pkg. ($700/emp)</t>
  </si>
  <si>
    <t>401 K (Matching 3%)</t>
  </si>
  <si>
    <t xml:space="preserve">   Benefit Pkg ($700/emp)</t>
  </si>
  <si>
    <t xml:space="preserve">   401 K (Matching 3%)</t>
  </si>
  <si>
    <t>Benefits</t>
  </si>
  <si>
    <t>Monthly Avg</t>
  </si>
  <si>
    <t>401K Match</t>
  </si>
  <si>
    <t>1st Year (Staggered)</t>
  </si>
  <si>
    <t>12 Month Avg</t>
  </si>
  <si>
    <t>CFO Salary (.75%)</t>
  </si>
  <si>
    <t>Sales (includes Travel 25%)</t>
  </si>
  <si>
    <t>Admin/Operations (4.75%)</t>
  </si>
  <si>
    <t>President Salary (2.25%)</t>
  </si>
  <si>
    <t>President Salary (2.75%)</t>
  </si>
  <si>
    <t>President Salary (3.25%)</t>
  </si>
  <si>
    <t xml:space="preserve">     All Payroll Burden</t>
  </si>
  <si>
    <t xml:space="preserve">     (-) Estimated Company</t>
  </si>
  <si>
    <t>Consulting (25%)</t>
  </si>
  <si>
    <t xml:space="preserve">     (-) Ownership Options %</t>
  </si>
  <si>
    <t xml:space="preserve">     (-) Estimated Retained</t>
  </si>
  <si>
    <t>Printing</t>
  </si>
  <si>
    <t xml:space="preserve">          Brochures (Leave Behinds)</t>
  </si>
  <si>
    <t xml:space="preserve">          Agreements (2-part)</t>
  </si>
  <si>
    <t>Phone (Phone, Voicemail, Video)</t>
  </si>
  <si>
    <t xml:space="preserve">          Business Cards:   TSR</t>
  </si>
  <si>
    <t xml:space="preserve">          Business Cards:   RSM</t>
  </si>
  <si>
    <t xml:space="preserve">          Business Cards:   CSO</t>
  </si>
  <si>
    <t xml:space="preserve">         Business Cards:  CSO</t>
  </si>
  <si>
    <t xml:space="preserve">         Business Cards:  RSM</t>
  </si>
  <si>
    <t xml:space="preserve">         Business Cards:  TSR</t>
  </si>
  <si>
    <t>Admin/Operations (5.0%)</t>
  </si>
  <si>
    <t>President Salary (3%)</t>
  </si>
  <si>
    <t>Business Coordinator</t>
  </si>
  <si>
    <t>Marketing Manager</t>
  </si>
  <si>
    <t>Regional Marketing Director</t>
  </si>
  <si>
    <t>RMD</t>
  </si>
  <si>
    <t># Mo Sales per RMD</t>
  </si>
  <si>
    <t>Marketig Manager</t>
  </si>
  <si>
    <t xml:space="preserve"> </t>
  </si>
  <si>
    <t>7/21/2025                   08/21/2025           08/21/252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</si>
</sst>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Border="1"/>
    <xf numFmtId="0" fontId="0" fillId="0" borderId="2" xfId="0" applyBorder="1" applyAlignment="1">
      <alignment horizontal="left" indent="2"/>
    </xf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0" fillId="0" borderId="2" xfId="0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3" fillId="0" borderId="0" xfId="0" applyFont="1"/>
    <xf numFmtId="0" fontId="3" fillId="0" borderId="2" xfId="0" applyFont="1" applyBorder="1"/>
    <xf numFmtId="0" fontId="3" fillId="0" borderId="0" xfId="0" applyFont="1" applyBorder="1"/>
    <xf numFmtId="0" fontId="4" fillId="0" borderId="0" xfId="0" applyFont="1" applyAlignment="1">
      <alignment horizontal="right"/>
    </xf>
    <xf numFmtId="164" fontId="0" fillId="0" borderId="2" xfId="1" applyNumberFormat="1" applyFont="1" applyBorder="1"/>
    <xf numFmtId="164" fontId="0" fillId="3" borderId="2" xfId="1" applyNumberFormat="1" applyFont="1" applyFill="1" applyBorder="1"/>
    <xf numFmtId="9" fontId="0" fillId="4" borderId="2" xfId="0" applyNumberFormat="1" applyFill="1" applyBorder="1"/>
    <xf numFmtId="0" fontId="2" fillId="3" borderId="2" xfId="0" applyFont="1" applyFill="1" applyBorder="1"/>
    <xf numFmtId="164" fontId="2" fillId="3" borderId="2" xfId="0" applyNumberFormat="1" applyFont="1" applyFill="1" applyBorder="1"/>
    <xf numFmtId="0" fontId="0" fillId="0" borderId="3" xfId="0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0" fillId="0" borderId="6" xfId="0" applyBorder="1"/>
    <xf numFmtId="0" fontId="0" fillId="0" borderId="2" xfId="0" applyFill="1" applyBorder="1"/>
    <xf numFmtId="0" fontId="0" fillId="0" borderId="0" xfId="0" applyBorder="1" applyAlignment="1">
      <alignment horizontal="left"/>
    </xf>
    <xf numFmtId="0" fontId="0" fillId="0" borderId="0" xfId="0" applyFill="1" applyBorder="1"/>
    <xf numFmtId="10" fontId="0" fillId="0" borderId="0" xfId="0" applyNumberFormat="1"/>
    <xf numFmtId="43" fontId="0" fillId="0" borderId="0" xfId="0" applyNumberFormat="1"/>
    <xf numFmtId="0" fontId="3" fillId="0" borderId="0" xfId="0" applyFont="1" applyFill="1" applyBorder="1" applyAlignment="1"/>
    <xf numFmtId="164" fontId="0" fillId="0" borderId="2" xfId="0" applyNumberFormat="1" applyBorder="1"/>
    <xf numFmtId="43" fontId="0" fillId="0" borderId="2" xfId="0" applyNumberFormat="1" applyBorder="1"/>
    <xf numFmtId="0" fontId="0" fillId="6" borderId="2" xfId="0" applyFill="1" applyBorder="1" applyAlignment="1">
      <alignment horizontal="right"/>
    </xf>
    <xf numFmtId="43" fontId="2" fillId="5" borderId="2" xfId="0" applyNumberFormat="1" applyFont="1" applyFill="1" applyBorder="1"/>
    <xf numFmtId="164" fontId="0" fillId="5" borderId="2" xfId="0" applyNumberFormat="1" applyFill="1" applyBorder="1"/>
    <xf numFmtId="10" fontId="0" fillId="0" borderId="2" xfId="2" applyNumberFormat="1" applyFont="1" applyBorder="1"/>
    <xf numFmtId="10" fontId="0" fillId="5" borderId="2" xfId="0" applyNumberFormat="1" applyFill="1" applyBorder="1"/>
    <xf numFmtId="0" fontId="0" fillId="0" borderId="0" xfId="0" applyAlignment="1">
      <alignment horizontal="center"/>
    </xf>
    <xf numFmtId="0" fontId="0" fillId="6" borderId="0" xfId="0" applyFill="1" applyBorder="1" applyAlignment="1">
      <alignment horizontal="right"/>
    </xf>
    <xf numFmtId="0" fontId="4" fillId="0" borderId="2" xfId="0" applyFont="1" applyBorder="1" applyAlignment="1">
      <alignment horizontal="left" indent="2"/>
    </xf>
    <xf numFmtId="17" fontId="3" fillId="0" borderId="1" xfId="0" applyNumberFormat="1" applyFont="1" applyBorder="1" applyAlignment="1">
      <alignment horizontal="center" vertical="center"/>
    </xf>
    <xf numFmtId="0" fontId="0" fillId="6" borderId="0" xfId="0" applyFill="1" applyBorder="1"/>
    <xf numFmtId="10" fontId="0" fillId="6" borderId="0" xfId="0" applyNumberFormat="1" applyFill="1" applyBorder="1"/>
    <xf numFmtId="165" fontId="0" fillId="4" borderId="2" xfId="0" applyNumberFormat="1" applyFill="1" applyBorder="1"/>
    <xf numFmtId="164" fontId="0" fillId="5" borderId="2" xfId="1" applyNumberFormat="1" applyFont="1" applyFill="1" applyBorder="1"/>
    <xf numFmtId="10" fontId="0" fillId="7" borderId="2" xfId="2" applyNumberFormat="1" applyFont="1" applyFill="1" applyBorder="1"/>
    <xf numFmtId="0" fontId="2" fillId="0" borderId="0" xfId="0" applyFont="1" applyAlignment="1">
      <alignment horizontal="center"/>
    </xf>
    <xf numFmtId="0" fontId="7" fillId="0" borderId="2" xfId="3" applyFont="1" applyBorder="1"/>
    <xf numFmtId="10" fontId="0" fillId="0" borderId="2" xfId="0" applyNumberFormat="1" applyBorder="1"/>
    <xf numFmtId="0" fontId="4" fillId="0" borderId="2" xfId="0" applyFont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Fill="1" applyBorder="1"/>
    <xf numFmtId="10" fontId="0" fillId="4" borderId="2" xfId="0" applyNumberFormat="1" applyFill="1" applyBorder="1"/>
    <xf numFmtId="10" fontId="0" fillId="4" borderId="2" xfId="2" applyNumberFormat="1" applyFont="1" applyFill="1" applyBorder="1"/>
    <xf numFmtId="0" fontId="0" fillId="6" borderId="2" xfId="0" applyFill="1" applyBorder="1"/>
    <xf numFmtId="0" fontId="0" fillId="8" borderId="0" xfId="0" applyFill="1"/>
    <xf numFmtId="165" fontId="0" fillId="4" borderId="2" xfId="2" applyNumberFormat="1" applyFont="1" applyFill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164" fontId="2" fillId="3" borderId="2" xfId="1" applyNumberFormat="1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1" applyNumberFormat="1" applyFont="1" applyFill="1" applyBorder="1"/>
    <xf numFmtId="164" fontId="2" fillId="0" borderId="0" xfId="0" applyNumberFormat="1" applyFont="1" applyFill="1" applyBorder="1"/>
    <xf numFmtId="0" fontId="0" fillId="0" borderId="0" xfId="0" applyFill="1"/>
    <xf numFmtId="43" fontId="0" fillId="0" borderId="2" xfId="1" applyNumberFormat="1" applyFont="1" applyBorder="1" applyAlignment="1">
      <alignment horizontal="center"/>
    </xf>
    <xf numFmtId="0" fontId="4" fillId="0" borderId="0" xfId="0" applyFont="1"/>
    <xf numFmtId="166" fontId="4" fillId="0" borderId="0" xfId="0" applyNumberFormat="1" applyFont="1" applyAlignment="1">
      <alignment horizontal="left"/>
    </xf>
    <xf numFmtId="164" fontId="2" fillId="5" borderId="2" xfId="0" applyNumberFormat="1" applyFont="1" applyFill="1" applyBorder="1"/>
    <xf numFmtId="164" fontId="0" fillId="0" borderId="2" xfId="1" applyNumberFormat="1" applyFont="1" applyBorder="1" applyAlignment="1">
      <alignment horizontal="center"/>
    </xf>
    <xf numFmtId="165" fontId="0" fillId="0" borderId="0" xfId="0" applyNumberFormat="1"/>
    <xf numFmtId="164" fontId="0" fillId="3" borderId="2" xfId="0" applyNumberFormat="1" applyFill="1" applyBorder="1"/>
    <xf numFmtId="43" fontId="0" fillId="0" borderId="0" xfId="1" applyFont="1"/>
    <xf numFmtId="10" fontId="0" fillId="0" borderId="0" xfId="0" applyNumberFormat="1" applyFill="1" applyBorder="1"/>
    <xf numFmtId="0" fontId="4" fillId="0" borderId="0" xfId="0" applyFont="1" applyBorder="1" applyAlignment="1">
      <alignment horizontal="center"/>
    </xf>
    <xf numFmtId="10" fontId="0" fillId="0" borderId="0" xfId="2" applyNumberFormat="1" applyFont="1" applyFill="1" applyBorder="1"/>
    <xf numFmtId="10" fontId="0" fillId="7" borderId="2" xfId="0" applyNumberFormat="1" applyFill="1" applyBorder="1"/>
    <xf numFmtId="0" fontId="3" fillId="0" borderId="2" xfId="0" applyFont="1" applyBorder="1" applyAlignment="1">
      <alignment horizontal="left" indent="2"/>
    </xf>
    <xf numFmtId="0" fontId="0" fillId="9" borderId="2" xfId="0" applyFill="1" applyBorder="1"/>
    <xf numFmtId="0" fontId="0" fillId="9" borderId="2" xfId="0" applyFill="1" applyBorder="1" applyAlignment="1">
      <alignment horizontal="left" indent="2"/>
    </xf>
    <xf numFmtId="0" fontId="0" fillId="10" borderId="2" xfId="0" applyFill="1" applyBorder="1" applyAlignment="1">
      <alignment horizontal="left" indent="2"/>
    </xf>
    <xf numFmtId="0" fontId="0" fillId="10" borderId="2" xfId="0" applyFill="1" applyBorder="1"/>
    <xf numFmtId="0" fontId="0" fillId="11" borderId="2" xfId="0" applyFill="1" applyBorder="1" applyAlignment="1">
      <alignment horizontal="left" indent="2"/>
    </xf>
    <xf numFmtId="0" fontId="0" fillId="11" borderId="2" xfId="0" applyFill="1" applyBorder="1"/>
    <xf numFmtId="0" fontId="0" fillId="12" borderId="2" xfId="0" applyFill="1" applyBorder="1" applyAlignment="1">
      <alignment horizontal="left" indent="2"/>
    </xf>
    <xf numFmtId="0" fontId="0" fillId="12" borderId="2" xfId="0" applyFill="1" applyBorder="1"/>
    <xf numFmtId="0" fontId="0" fillId="13" borderId="2" xfId="0" applyFill="1" applyBorder="1" applyAlignment="1">
      <alignment horizontal="left" indent="2"/>
    </xf>
    <xf numFmtId="0" fontId="0" fillId="13" borderId="2" xfId="0" applyFill="1" applyBorder="1"/>
    <xf numFmtId="164" fontId="0" fillId="12" borderId="2" xfId="1" applyNumberFormat="1" applyFont="1" applyFill="1" applyBorder="1"/>
    <xf numFmtId="0" fontId="2" fillId="0" borderId="0" xfId="0" applyFont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173F-8F40-41B0-80C4-531926BD2136}">
  <sheetPr>
    <tabColor rgb="FF92D050"/>
  </sheetPr>
  <dimension ref="A1:T144"/>
  <sheetViews>
    <sheetView tabSelected="1" workbookViewId="0">
      <selection activeCell="A8" sqref="A8"/>
    </sheetView>
  </sheetViews>
  <sheetFormatPr defaultRowHeight="14.4" x14ac:dyDescent="0.3"/>
  <cols>
    <col min="1" max="1" width="32.88671875" customWidth="1"/>
    <col min="2" max="13" width="12.6640625" customWidth="1"/>
    <col min="14" max="14" width="13.6640625" bestFit="1" customWidth="1"/>
    <col min="16" max="16" width="18.6640625" customWidth="1"/>
    <col min="17" max="17" width="18.5546875" customWidth="1"/>
    <col min="18" max="18" width="11.5546875" bestFit="1" customWidth="1"/>
    <col min="19" max="19" width="13.33203125" bestFit="1" customWidth="1"/>
    <col min="20" max="20" width="12.109375" bestFit="1" customWidth="1"/>
    <col min="21" max="21" width="11.5546875" bestFit="1" customWidth="1"/>
  </cols>
  <sheetData>
    <row r="1" spans="1:20" ht="15" customHeight="1" thickBot="1" x14ac:dyDescent="0.35">
      <c r="A1" s="4"/>
      <c r="B1" s="94" t="s">
        <v>32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P1" s="20" t="s">
        <v>31</v>
      </c>
      <c r="Q1" s="21"/>
      <c r="R1" s="21"/>
      <c r="S1" s="21"/>
      <c r="T1" s="22"/>
    </row>
    <row r="2" spans="1:20" ht="15" customHeight="1" x14ac:dyDescent="0.3">
      <c r="A2" s="4"/>
      <c r="B2" s="39">
        <v>44734</v>
      </c>
      <c r="C2" s="39">
        <v>44764</v>
      </c>
      <c r="D2" s="39">
        <v>44795</v>
      </c>
      <c r="E2" s="39">
        <v>44826</v>
      </c>
      <c r="F2" s="39">
        <v>44856</v>
      </c>
      <c r="G2" s="39">
        <v>44887</v>
      </c>
      <c r="H2" s="39">
        <v>44948</v>
      </c>
      <c r="I2" s="39">
        <v>44980</v>
      </c>
      <c r="J2" s="39">
        <v>45008</v>
      </c>
      <c r="K2" s="39">
        <v>45039</v>
      </c>
      <c r="L2" s="39">
        <v>45067</v>
      </c>
      <c r="M2" s="39">
        <v>45098</v>
      </c>
      <c r="P2" s="12"/>
      <c r="Q2" s="12"/>
      <c r="R2" s="12"/>
      <c r="S2" s="12"/>
      <c r="T2" s="1"/>
    </row>
    <row r="3" spans="1:20" ht="15" customHeight="1" x14ac:dyDescent="0.3">
      <c r="A3" s="13" t="s">
        <v>0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 t="s">
        <v>8</v>
      </c>
      <c r="P3" s="4" t="s">
        <v>30</v>
      </c>
    </row>
    <row r="4" spans="1:20" ht="15" customHeight="1" x14ac:dyDescent="0.3">
      <c r="A4" s="12" t="s">
        <v>53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71"/>
      <c r="P4" s="5" t="s">
        <v>21</v>
      </c>
      <c r="Q4" s="5" t="s">
        <v>22</v>
      </c>
      <c r="R4" s="5" t="s">
        <v>35</v>
      </c>
      <c r="S4" s="53" t="s">
        <v>50</v>
      </c>
    </row>
    <row r="5" spans="1:20" ht="15" customHeight="1" x14ac:dyDescent="0.3">
      <c r="A5" s="2"/>
      <c r="B5" s="90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7">
        <f>SUM(M5)</f>
        <v>0</v>
      </c>
      <c r="O5" s="72"/>
      <c r="P5" s="89"/>
      <c r="Q5" s="9">
        <v>0</v>
      </c>
      <c r="R5" s="42"/>
      <c r="S5" s="54"/>
    </row>
    <row r="6" spans="1:20" ht="15" customHeight="1" x14ac:dyDescent="0.3">
      <c r="A6" s="2" t="s">
        <v>93</v>
      </c>
      <c r="B6" s="92">
        <v>4</v>
      </c>
      <c r="C6" s="23">
        <v>4</v>
      </c>
      <c r="D6" s="3">
        <v>6</v>
      </c>
      <c r="E6" s="23">
        <v>6</v>
      </c>
      <c r="F6" s="3">
        <v>1</v>
      </c>
      <c r="G6" s="3">
        <v>6</v>
      </c>
      <c r="H6" s="92">
        <v>6</v>
      </c>
      <c r="I6" s="3">
        <v>3</v>
      </c>
      <c r="J6" s="3">
        <v>3</v>
      </c>
      <c r="K6" s="3">
        <v>3</v>
      </c>
      <c r="L6" s="3">
        <v>3</v>
      </c>
      <c r="M6" s="3">
        <v>3</v>
      </c>
      <c r="N6" s="17">
        <f t="shared" ref="N6:N8" si="0">SUM(M6)</f>
        <v>3</v>
      </c>
      <c r="O6" s="72"/>
      <c r="P6" s="91" t="s">
        <v>2</v>
      </c>
      <c r="Q6" s="9">
        <v>4000</v>
      </c>
      <c r="R6" s="42">
        <v>1.2500000000000001E-2</v>
      </c>
      <c r="S6" s="55">
        <v>0</v>
      </c>
    </row>
    <row r="7" spans="1:20" ht="15" customHeight="1" x14ac:dyDescent="0.3">
      <c r="A7" s="2" t="s">
        <v>94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23">
        <v>1</v>
      </c>
      <c r="H7" s="88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17">
        <f t="shared" si="0"/>
        <v>1</v>
      </c>
      <c r="O7" s="72"/>
      <c r="P7" s="87" t="s">
        <v>98</v>
      </c>
      <c r="Q7" s="9">
        <v>0</v>
      </c>
      <c r="R7" s="42">
        <v>0.01</v>
      </c>
      <c r="S7" s="54">
        <v>0.01</v>
      </c>
    </row>
    <row r="8" spans="1:20" ht="15" customHeight="1" x14ac:dyDescent="0.3">
      <c r="A8" s="2" t="s">
        <v>95</v>
      </c>
      <c r="B8" s="3">
        <v>3</v>
      </c>
      <c r="C8" s="86">
        <v>3</v>
      </c>
      <c r="D8" s="3">
        <v>4</v>
      </c>
      <c r="E8" s="23">
        <v>4</v>
      </c>
      <c r="F8" s="3">
        <v>4</v>
      </c>
      <c r="G8" s="3">
        <v>4</v>
      </c>
      <c r="H8" s="86">
        <v>6</v>
      </c>
      <c r="I8" s="3">
        <v>6</v>
      </c>
      <c r="J8" s="3">
        <v>6</v>
      </c>
      <c r="K8" s="3">
        <v>6</v>
      </c>
      <c r="L8" s="3">
        <v>6</v>
      </c>
      <c r="M8" s="3">
        <v>6</v>
      </c>
      <c r="N8" s="17">
        <f t="shared" si="0"/>
        <v>6</v>
      </c>
      <c r="O8" s="72"/>
      <c r="P8" s="85" t="s">
        <v>96</v>
      </c>
      <c r="Q8" s="9">
        <v>2000</v>
      </c>
      <c r="R8" s="42">
        <v>0.04</v>
      </c>
      <c r="S8" s="54">
        <v>0.5</v>
      </c>
    </row>
    <row r="9" spans="1:20" ht="15" customHeight="1" x14ac:dyDescent="0.3">
      <c r="A9" s="2" t="s">
        <v>5</v>
      </c>
      <c r="B9" s="3">
        <v>0</v>
      </c>
      <c r="C9" s="3">
        <v>0</v>
      </c>
      <c r="D9" s="3">
        <v>0</v>
      </c>
      <c r="E9" s="3">
        <v>0</v>
      </c>
      <c r="F9" s="3">
        <v>1</v>
      </c>
      <c r="G9" s="3">
        <v>0</v>
      </c>
      <c r="H9" s="8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17"/>
      <c r="O9" s="72"/>
      <c r="P9" s="84"/>
      <c r="Q9" s="9">
        <v>0</v>
      </c>
      <c r="R9" s="42"/>
      <c r="S9" s="54"/>
    </row>
    <row r="10" spans="1:20" ht="15" customHeight="1" x14ac:dyDescent="0.3">
      <c r="A10" s="6" t="s">
        <v>8</v>
      </c>
      <c r="B10" s="8">
        <f t="shared" ref="B10:N10" si="1">SUM(B5:B9)</f>
        <v>8</v>
      </c>
      <c r="C10" s="8">
        <f t="shared" si="1"/>
        <v>8</v>
      </c>
      <c r="D10" s="8">
        <f t="shared" si="1"/>
        <v>11</v>
      </c>
      <c r="E10" s="8">
        <f t="shared" si="1"/>
        <v>11</v>
      </c>
      <c r="F10" s="3">
        <v>1</v>
      </c>
      <c r="G10" s="8">
        <f t="shared" si="1"/>
        <v>11</v>
      </c>
      <c r="H10" s="8">
        <f t="shared" si="1"/>
        <v>13</v>
      </c>
      <c r="I10" s="8">
        <f t="shared" si="1"/>
        <v>10</v>
      </c>
      <c r="J10" s="8">
        <f t="shared" si="1"/>
        <v>10</v>
      </c>
      <c r="K10" s="8">
        <f t="shared" si="1"/>
        <v>10</v>
      </c>
      <c r="L10" s="8">
        <f t="shared" si="1"/>
        <v>10</v>
      </c>
      <c r="M10" s="8">
        <f t="shared" si="1"/>
        <v>10</v>
      </c>
      <c r="N10" s="17">
        <f t="shared" si="1"/>
        <v>10</v>
      </c>
      <c r="R10" s="26">
        <f>SUM(R5:R9)</f>
        <v>6.25E-2</v>
      </c>
      <c r="S10" s="26">
        <f>SUM(S5:S9)</f>
        <v>0.51</v>
      </c>
    </row>
    <row r="11" spans="1:20" ht="15" customHeight="1" x14ac:dyDescent="0.3"/>
    <row r="12" spans="1:20" ht="15" customHeight="1" x14ac:dyDescent="0.3">
      <c r="A12" s="12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4" t="s">
        <v>25</v>
      </c>
      <c r="Q12" t="s">
        <v>99</v>
      </c>
    </row>
    <row r="13" spans="1:20" ht="15" customHeight="1" x14ac:dyDescent="0.3">
      <c r="A13" s="2" t="s">
        <v>34</v>
      </c>
      <c r="B13" s="14">
        <f>B8*$Q$13*$Q$14</f>
        <v>27000</v>
      </c>
      <c r="C13" s="14">
        <f>C8*$Q$13*$Q$14*50%</f>
        <v>13500</v>
      </c>
      <c r="D13" s="14">
        <f>D8*$Q$13*$Q$14*75%</f>
        <v>27000</v>
      </c>
      <c r="E13" s="14">
        <f>E8*$Q$13*$Q$14</f>
        <v>36000</v>
      </c>
      <c r="F13" s="14">
        <f t="shared" ref="F13:M13" si="2">F8*$Q$13*$Q$14</f>
        <v>36000</v>
      </c>
      <c r="G13" s="14">
        <f t="shared" si="2"/>
        <v>36000</v>
      </c>
      <c r="H13" s="14">
        <f>H8*$Q$13*$Q$14*75%</f>
        <v>40500</v>
      </c>
      <c r="I13" s="14">
        <f t="shared" si="2"/>
        <v>54000</v>
      </c>
      <c r="J13" s="14">
        <f t="shared" si="2"/>
        <v>54000</v>
      </c>
      <c r="K13" s="14">
        <f t="shared" si="2"/>
        <v>54000</v>
      </c>
      <c r="L13" s="14">
        <f t="shared" si="2"/>
        <v>54000</v>
      </c>
      <c r="M13" s="14">
        <f t="shared" si="2"/>
        <v>54000</v>
      </c>
      <c r="N13" s="18">
        <f>SUM(B13:M13)</f>
        <v>486000</v>
      </c>
      <c r="P13" s="3" t="s">
        <v>97</v>
      </c>
      <c r="Q13" s="9">
        <v>5</v>
      </c>
    </row>
    <row r="14" spans="1:20" ht="15" customHeight="1" x14ac:dyDescent="0.3">
      <c r="A14" s="2" t="s">
        <v>7</v>
      </c>
      <c r="B14" s="14">
        <v>0</v>
      </c>
      <c r="C14" s="14">
        <f>C6*$Q$13*$Q$15*$Q$16*$Q$17*40%</f>
        <v>558400</v>
      </c>
      <c r="D14" s="14">
        <f>D6*$Q$13*$Q$15*$Q$16*$Q$17*60%</f>
        <v>1256400</v>
      </c>
      <c r="E14" s="14">
        <f>E6*$Q$13*$Q$15*$Q$16*$Q$17*85%</f>
        <v>1779900</v>
      </c>
      <c r="F14" s="14">
        <f>F6*$Q$13*$Q$15*$Q$16*$Q$17</f>
        <v>349000</v>
      </c>
      <c r="G14" s="14">
        <f>G6*$Q$13*$Q$15*$Q$16*$Q$17</f>
        <v>2094000</v>
      </c>
      <c r="H14" s="14">
        <f>H6*$Q$13*$Q$15*$Q$16*$Q$17*70%</f>
        <v>1465800</v>
      </c>
      <c r="I14" s="14">
        <f>I6*$Q$13*$Q$15*$Q$16*$Q$17</f>
        <v>1047000</v>
      </c>
      <c r="J14" s="14">
        <f>J6*$Q$13*$Q$15*$Q$16*$Q$17</f>
        <v>1047000</v>
      </c>
      <c r="K14" s="14">
        <f>K6*$Q$13*$Q$15*$Q$16*$Q$17</f>
        <v>1047000</v>
      </c>
      <c r="L14" s="14">
        <f>L6*$Q$13*$Q$15*$Q$16*$Q$17</f>
        <v>1047000</v>
      </c>
      <c r="M14" s="14">
        <f>M6*$Q$13*$Q$15*$Q$16*$Q$17</f>
        <v>1047000</v>
      </c>
      <c r="N14" s="18">
        <f>SUM(B14:M14)</f>
        <v>12738500</v>
      </c>
      <c r="P14" s="3" t="s">
        <v>28</v>
      </c>
      <c r="Q14" s="9">
        <v>1800</v>
      </c>
    </row>
    <row r="15" spans="1:20" ht="15" customHeight="1" x14ac:dyDescent="0.3">
      <c r="A15" s="6" t="s">
        <v>8</v>
      </c>
      <c r="B15" s="15">
        <f t="shared" ref="B15:M15" si="3">SUM(B13:B14)</f>
        <v>27000</v>
      </c>
      <c r="C15" s="15">
        <f t="shared" si="3"/>
        <v>571900</v>
      </c>
      <c r="D15" s="15">
        <f t="shared" si="3"/>
        <v>1283400</v>
      </c>
      <c r="E15" s="15">
        <f t="shared" si="3"/>
        <v>1815900</v>
      </c>
      <c r="F15" s="15">
        <f t="shared" si="3"/>
        <v>385000</v>
      </c>
      <c r="G15" s="15">
        <f t="shared" si="3"/>
        <v>2130000</v>
      </c>
      <c r="H15" s="15">
        <f t="shared" si="3"/>
        <v>1506300</v>
      </c>
      <c r="I15" s="15">
        <f t="shared" si="3"/>
        <v>1101000</v>
      </c>
      <c r="J15" s="15">
        <f t="shared" si="3"/>
        <v>1101000</v>
      </c>
      <c r="K15" s="15">
        <f t="shared" si="3"/>
        <v>1101000</v>
      </c>
      <c r="L15" s="15">
        <f t="shared" si="3"/>
        <v>1101000</v>
      </c>
      <c r="M15" s="15">
        <f t="shared" si="3"/>
        <v>1101000</v>
      </c>
      <c r="N15" s="18">
        <f>SUM(B15:M15)</f>
        <v>13224500</v>
      </c>
      <c r="P15" s="3" t="s">
        <v>24</v>
      </c>
      <c r="Q15" s="16">
        <v>0.8</v>
      </c>
    </row>
    <row r="16" spans="1:20" ht="15" customHeight="1" x14ac:dyDescent="0.3">
      <c r="P16" s="3" t="s">
        <v>26</v>
      </c>
      <c r="Q16" s="9">
        <v>250</v>
      </c>
    </row>
    <row r="17" spans="1:18" ht="15" customHeight="1" x14ac:dyDescent="0.3">
      <c r="A17" s="10" t="s">
        <v>9</v>
      </c>
      <c r="P17" s="3" t="s">
        <v>27</v>
      </c>
      <c r="Q17" s="9">
        <v>349</v>
      </c>
    </row>
    <row r="18" spans="1:18" ht="15" customHeight="1" x14ac:dyDescent="0.3">
      <c r="A18" s="2" t="s">
        <v>10</v>
      </c>
      <c r="B18" s="14">
        <f>SUM(B5*$Q$5+B6*$Q$6+C7*$Q$7+B8*$Q$8+B9*$Q$9+B13*S5+B13*S6+B13*S7+B13*S8+B13*S9)*50%</f>
        <v>17885</v>
      </c>
      <c r="C18" s="14">
        <f t="shared" ref="C18:M18" si="4">C5*$Q$5+C6*$Q$6+D7*$Q$7+C8*$Q$8+C9*$Q$9+C13*T5+C13*T6+C13*T7+C13*T8+C13*T9</f>
        <v>22000</v>
      </c>
      <c r="D18" s="14">
        <f t="shared" si="4"/>
        <v>32000</v>
      </c>
      <c r="E18" s="14">
        <f t="shared" si="4"/>
        <v>32000</v>
      </c>
      <c r="F18" s="14">
        <f t="shared" si="4"/>
        <v>12000</v>
      </c>
      <c r="G18" s="14">
        <f t="shared" si="4"/>
        <v>32000</v>
      </c>
      <c r="H18" s="14">
        <f t="shared" si="4"/>
        <v>36000</v>
      </c>
      <c r="I18" s="14">
        <f t="shared" si="4"/>
        <v>24000</v>
      </c>
      <c r="J18" s="14">
        <f t="shared" si="4"/>
        <v>24000</v>
      </c>
      <c r="K18" s="14">
        <f t="shared" si="4"/>
        <v>24000</v>
      </c>
      <c r="L18" s="14">
        <f t="shared" si="4"/>
        <v>24000</v>
      </c>
      <c r="M18" s="14">
        <f t="shared" si="4"/>
        <v>24000</v>
      </c>
      <c r="N18" s="18">
        <f>SUM(B18:M18)</f>
        <v>303885</v>
      </c>
      <c r="P18" s="19" t="s">
        <v>36</v>
      </c>
      <c r="Q18" s="23">
        <f>IF(Q13&gt;5,(Q13-4)*300,0)</f>
        <v>0</v>
      </c>
    </row>
    <row r="19" spans="1:18" ht="15" customHeight="1" x14ac:dyDescent="0.3">
      <c r="A19" s="2" t="s">
        <v>38</v>
      </c>
      <c r="B19" s="14">
        <f t="shared" ref="B19:M19" si="5">IF(B5&gt;0,$R$5*B$14,0)</f>
        <v>0</v>
      </c>
      <c r="C19" s="14">
        <f t="shared" si="5"/>
        <v>0</v>
      </c>
      <c r="D19" s="14">
        <f t="shared" si="5"/>
        <v>0</v>
      </c>
      <c r="E19" s="14">
        <f t="shared" si="5"/>
        <v>0</v>
      </c>
      <c r="F19" s="14">
        <f t="shared" si="5"/>
        <v>0</v>
      </c>
      <c r="G19" s="14">
        <f t="shared" si="5"/>
        <v>0</v>
      </c>
      <c r="H19" s="14">
        <f t="shared" si="5"/>
        <v>0</v>
      </c>
      <c r="I19" s="14">
        <f t="shared" si="5"/>
        <v>0</v>
      </c>
      <c r="J19" s="14">
        <f t="shared" si="5"/>
        <v>0</v>
      </c>
      <c r="K19" s="14">
        <f t="shared" si="5"/>
        <v>0</v>
      </c>
      <c r="L19" s="14">
        <f t="shared" si="5"/>
        <v>0</v>
      </c>
      <c r="M19" s="14">
        <f t="shared" si="5"/>
        <v>0</v>
      </c>
      <c r="N19" s="18">
        <f t="shared" ref="N19:N43" si="6">SUM(B19:M19)</f>
        <v>0</v>
      </c>
      <c r="P19" s="19" t="s">
        <v>37</v>
      </c>
      <c r="Q19" s="23">
        <f>IF($Q$14&gt;995,($Q$14-995)*0.5*$Q$13,0)</f>
        <v>2012.5</v>
      </c>
    </row>
    <row r="20" spans="1:18" ht="15" customHeight="1" x14ac:dyDescent="0.3">
      <c r="A20" s="2" t="s">
        <v>39</v>
      </c>
      <c r="B20" s="14">
        <f t="shared" ref="B20:M20" si="7">IF(B8&gt;0,B8*$Q$18+B8*$Q$19,0)</f>
        <v>6037.5</v>
      </c>
      <c r="C20" s="14">
        <f t="shared" si="7"/>
        <v>6037.5</v>
      </c>
      <c r="D20" s="14">
        <f t="shared" si="7"/>
        <v>8050</v>
      </c>
      <c r="E20" s="14">
        <f t="shared" si="7"/>
        <v>8050</v>
      </c>
      <c r="F20" s="14">
        <f t="shared" si="7"/>
        <v>8050</v>
      </c>
      <c r="G20" s="14">
        <f t="shared" si="7"/>
        <v>8050</v>
      </c>
      <c r="H20" s="14">
        <f t="shared" si="7"/>
        <v>12075</v>
      </c>
      <c r="I20" s="14">
        <f t="shared" si="7"/>
        <v>12075</v>
      </c>
      <c r="J20" s="14">
        <f t="shared" si="7"/>
        <v>12075</v>
      </c>
      <c r="K20" s="14">
        <f t="shared" si="7"/>
        <v>12075</v>
      </c>
      <c r="L20" s="14">
        <f t="shared" si="7"/>
        <v>12075</v>
      </c>
      <c r="M20" s="14">
        <f t="shared" si="7"/>
        <v>12075</v>
      </c>
      <c r="N20" s="18">
        <f t="shared" si="6"/>
        <v>116725</v>
      </c>
      <c r="P20" s="24"/>
      <c r="Q20" s="24"/>
      <c r="R20" s="25"/>
    </row>
    <row r="21" spans="1:18" ht="15" customHeight="1" x14ac:dyDescent="0.3">
      <c r="A21" s="2" t="s">
        <v>47</v>
      </c>
      <c r="B21" s="14">
        <f t="shared" ref="B21:M21" si="8">SUM(B13)*$S10</f>
        <v>13770</v>
      </c>
      <c r="C21" s="14">
        <f t="shared" si="8"/>
        <v>6885</v>
      </c>
      <c r="D21" s="14">
        <f t="shared" si="8"/>
        <v>13770</v>
      </c>
      <c r="E21" s="14">
        <f t="shared" si="8"/>
        <v>18360</v>
      </c>
      <c r="F21" s="14">
        <f t="shared" si="8"/>
        <v>18360</v>
      </c>
      <c r="G21" s="14">
        <f t="shared" si="8"/>
        <v>18360</v>
      </c>
      <c r="H21" s="14">
        <f t="shared" si="8"/>
        <v>20655</v>
      </c>
      <c r="I21" s="14">
        <f t="shared" si="8"/>
        <v>27540</v>
      </c>
      <c r="J21" s="14">
        <f t="shared" si="8"/>
        <v>27540</v>
      </c>
      <c r="K21" s="14">
        <f t="shared" si="8"/>
        <v>27540</v>
      </c>
      <c r="L21" s="14">
        <f t="shared" si="8"/>
        <v>27540</v>
      </c>
      <c r="M21" s="14">
        <f t="shared" si="8"/>
        <v>27540</v>
      </c>
      <c r="N21" s="18">
        <f>SUM(B21:M21)</f>
        <v>247860</v>
      </c>
    </row>
    <row r="22" spans="1:18" ht="15" customHeight="1" x14ac:dyDescent="0.3">
      <c r="A22" s="2" t="s">
        <v>29</v>
      </c>
      <c r="B22" s="14">
        <f>(B18+B19+B20)*0.0765</f>
        <v>1830.07125</v>
      </c>
      <c r="C22" s="14">
        <f t="shared" ref="C22:M22" si="9">(C18+C19+C20)*0.0765</f>
        <v>2144.8687500000001</v>
      </c>
      <c r="D22" s="14">
        <f t="shared" si="9"/>
        <v>3063.8249999999998</v>
      </c>
      <c r="E22" s="14">
        <f t="shared" si="9"/>
        <v>3063.8249999999998</v>
      </c>
      <c r="F22" s="14">
        <f t="shared" si="9"/>
        <v>1533.825</v>
      </c>
      <c r="G22" s="14">
        <f t="shared" si="9"/>
        <v>3063.8249999999998</v>
      </c>
      <c r="H22" s="14">
        <f t="shared" si="9"/>
        <v>3677.7374999999997</v>
      </c>
      <c r="I22" s="14">
        <f t="shared" si="9"/>
        <v>2759.7374999999997</v>
      </c>
      <c r="J22" s="14">
        <f t="shared" si="9"/>
        <v>2759.7374999999997</v>
      </c>
      <c r="K22" s="14">
        <f t="shared" si="9"/>
        <v>2759.7374999999997</v>
      </c>
      <c r="L22" s="14">
        <f t="shared" si="9"/>
        <v>2759.7374999999997</v>
      </c>
      <c r="M22" s="14">
        <f t="shared" si="9"/>
        <v>2759.7374999999997</v>
      </c>
      <c r="N22" s="18">
        <f t="shared" si="6"/>
        <v>32176.664999999997</v>
      </c>
    </row>
    <row r="23" spans="1:18" ht="15" customHeight="1" x14ac:dyDescent="0.3">
      <c r="A23" s="2" t="s">
        <v>63</v>
      </c>
      <c r="B23" s="14"/>
      <c r="C23" s="14"/>
      <c r="D23" s="14"/>
      <c r="E23" s="14"/>
      <c r="F23" s="14"/>
      <c r="G23" s="14"/>
      <c r="H23" s="14">
        <f t="shared" ref="H23:M23" si="10">SUM(H10)*700</f>
        <v>9100</v>
      </c>
      <c r="I23" s="14">
        <f t="shared" si="10"/>
        <v>7000</v>
      </c>
      <c r="J23" s="14">
        <f t="shared" si="10"/>
        <v>7000</v>
      </c>
      <c r="K23" s="14">
        <f t="shared" si="10"/>
        <v>7000</v>
      </c>
      <c r="L23" s="14">
        <f t="shared" si="10"/>
        <v>7000</v>
      </c>
      <c r="M23" s="14">
        <f t="shared" si="10"/>
        <v>7000</v>
      </c>
      <c r="N23" s="61">
        <f>SUM(B23:M23)</f>
        <v>44100</v>
      </c>
    </row>
    <row r="24" spans="1:18" ht="15" customHeight="1" x14ac:dyDescent="0.3">
      <c r="A24" s="2" t="s">
        <v>64</v>
      </c>
      <c r="B24" s="14"/>
      <c r="C24" s="14"/>
      <c r="D24" s="14"/>
      <c r="E24" s="14"/>
      <c r="F24" s="14"/>
      <c r="G24" s="14"/>
      <c r="H24" s="14">
        <f t="shared" ref="H24:M24" si="11">SUM(H18:H21)*3%</f>
        <v>2061.9</v>
      </c>
      <c r="I24" s="14">
        <f t="shared" si="11"/>
        <v>1908.4499999999998</v>
      </c>
      <c r="J24" s="14">
        <f t="shared" si="11"/>
        <v>1908.4499999999998</v>
      </c>
      <c r="K24" s="14">
        <f t="shared" si="11"/>
        <v>1908.4499999999998</v>
      </c>
      <c r="L24" s="14">
        <f t="shared" si="11"/>
        <v>1908.4499999999998</v>
      </c>
      <c r="M24" s="14">
        <f t="shared" si="11"/>
        <v>1908.4499999999998</v>
      </c>
      <c r="N24" s="61">
        <f>SUM(B24:M24)</f>
        <v>11604.149999999998</v>
      </c>
    </row>
    <row r="25" spans="1:18" ht="15" customHeight="1" x14ac:dyDescent="0.3">
      <c r="A25" s="2" t="s">
        <v>11</v>
      </c>
      <c r="B25" s="14">
        <v>800</v>
      </c>
      <c r="C25" s="14">
        <v>800</v>
      </c>
      <c r="D25" s="14"/>
      <c r="E25" s="14">
        <f t="shared" ref="E25:M25" si="12">SUM(500*E8)</f>
        <v>2000</v>
      </c>
      <c r="F25" s="14">
        <f t="shared" si="12"/>
        <v>2000</v>
      </c>
      <c r="G25" s="14">
        <f t="shared" si="12"/>
        <v>2000</v>
      </c>
      <c r="H25" s="14">
        <f t="shared" si="12"/>
        <v>3000</v>
      </c>
      <c r="I25" s="14">
        <f t="shared" si="12"/>
        <v>3000</v>
      </c>
      <c r="J25" s="14">
        <f t="shared" si="12"/>
        <v>3000</v>
      </c>
      <c r="K25" s="14">
        <f t="shared" si="12"/>
        <v>3000</v>
      </c>
      <c r="L25" s="14">
        <f t="shared" si="12"/>
        <v>3000</v>
      </c>
      <c r="M25" s="14">
        <f t="shared" si="12"/>
        <v>3000</v>
      </c>
      <c r="N25" s="18">
        <f t="shared" si="6"/>
        <v>25600</v>
      </c>
    </row>
    <row r="26" spans="1:18" ht="15" customHeight="1" x14ac:dyDescent="0.3">
      <c r="A26" s="2" t="s">
        <v>12</v>
      </c>
      <c r="B26" s="14">
        <f>39*B10+39</f>
        <v>351</v>
      </c>
      <c r="C26" s="14">
        <f t="shared" ref="C26:M26" si="13">39*C10</f>
        <v>312</v>
      </c>
      <c r="D26" s="14">
        <f t="shared" si="13"/>
        <v>429</v>
      </c>
      <c r="E26" s="14">
        <f t="shared" si="13"/>
        <v>429</v>
      </c>
      <c r="F26" s="14">
        <f t="shared" si="13"/>
        <v>39</v>
      </c>
      <c r="G26" s="14">
        <f t="shared" si="13"/>
        <v>429</v>
      </c>
      <c r="H26" s="14">
        <f t="shared" si="13"/>
        <v>507</v>
      </c>
      <c r="I26" s="14">
        <f t="shared" si="13"/>
        <v>390</v>
      </c>
      <c r="J26" s="14">
        <f t="shared" si="13"/>
        <v>390</v>
      </c>
      <c r="K26" s="14">
        <f t="shared" si="13"/>
        <v>390</v>
      </c>
      <c r="L26" s="14">
        <f t="shared" si="13"/>
        <v>390</v>
      </c>
      <c r="M26" s="14">
        <f t="shared" si="13"/>
        <v>390</v>
      </c>
      <c r="N26" s="18">
        <f t="shared" si="6"/>
        <v>4446</v>
      </c>
    </row>
    <row r="27" spans="1:18" ht="15" customHeight="1" x14ac:dyDescent="0.3">
      <c r="A27" s="2" t="s">
        <v>84</v>
      </c>
      <c r="B27" s="14">
        <f t="shared" ref="B27:M27" si="14">SUM(28*B6)+(52*B7)+52</f>
        <v>216</v>
      </c>
      <c r="C27" s="14">
        <f t="shared" si="14"/>
        <v>216</v>
      </c>
      <c r="D27" s="14">
        <f t="shared" si="14"/>
        <v>272</v>
      </c>
      <c r="E27" s="14">
        <f t="shared" si="14"/>
        <v>272</v>
      </c>
      <c r="F27" s="14">
        <f t="shared" si="14"/>
        <v>132</v>
      </c>
      <c r="G27" s="14">
        <f t="shared" si="14"/>
        <v>272</v>
      </c>
      <c r="H27" s="14">
        <f t="shared" si="14"/>
        <v>272</v>
      </c>
      <c r="I27" s="14">
        <f t="shared" si="14"/>
        <v>188</v>
      </c>
      <c r="J27" s="14">
        <f t="shared" si="14"/>
        <v>188</v>
      </c>
      <c r="K27" s="14">
        <f t="shared" si="14"/>
        <v>188</v>
      </c>
      <c r="L27" s="14">
        <f t="shared" si="14"/>
        <v>188</v>
      </c>
      <c r="M27" s="14">
        <f t="shared" si="14"/>
        <v>188</v>
      </c>
      <c r="N27" s="18">
        <f t="shared" si="6"/>
        <v>2592</v>
      </c>
      <c r="P27" s="27"/>
    </row>
    <row r="28" spans="1:18" ht="15" customHeight="1" x14ac:dyDescent="0.3">
      <c r="A28" s="2" t="s">
        <v>13</v>
      </c>
      <c r="B28" s="14">
        <v>850</v>
      </c>
      <c r="C28" s="14">
        <v>0</v>
      </c>
      <c r="D28" s="14">
        <v>0</v>
      </c>
      <c r="E28" s="14">
        <v>0</v>
      </c>
      <c r="F28" s="14">
        <v>0</v>
      </c>
      <c r="G28" s="14">
        <v>850</v>
      </c>
      <c r="H28" s="14">
        <v>850</v>
      </c>
      <c r="I28" s="14">
        <v>850</v>
      </c>
      <c r="J28" s="14">
        <v>850</v>
      </c>
      <c r="K28" s="14">
        <v>850</v>
      </c>
      <c r="L28" s="14">
        <v>850</v>
      </c>
      <c r="M28" s="14">
        <v>850</v>
      </c>
      <c r="N28" s="18">
        <f t="shared" si="6"/>
        <v>6800</v>
      </c>
    </row>
    <row r="29" spans="1:18" ht="15" customHeight="1" x14ac:dyDescent="0.3">
      <c r="A29" s="2" t="s">
        <v>14</v>
      </c>
      <c r="B29" s="14">
        <f>SUM(B8*500)</f>
        <v>1500</v>
      </c>
      <c r="C29" s="14">
        <v>1800</v>
      </c>
      <c r="D29" s="14">
        <v>1800</v>
      </c>
      <c r="E29" s="14">
        <f t="shared" ref="E29:M29" si="15">SUM(E8*750)</f>
        <v>3000</v>
      </c>
      <c r="F29" s="14">
        <f t="shared" si="15"/>
        <v>3000</v>
      </c>
      <c r="G29" s="14">
        <f t="shared" si="15"/>
        <v>3000</v>
      </c>
      <c r="H29" s="14">
        <f t="shared" si="15"/>
        <v>4500</v>
      </c>
      <c r="I29" s="14">
        <f t="shared" si="15"/>
        <v>4500</v>
      </c>
      <c r="J29" s="14">
        <f t="shared" si="15"/>
        <v>4500</v>
      </c>
      <c r="K29" s="14">
        <f t="shared" si="15"/>
        <v>4500</v>
      </c>
      <c r="L29" s="14">
        <f t="shared" si="15"/>
        <v>4500</v>
      </c>
      <c r="M29" s="14">
        <f t="shared" si="15"/>
        <v>4500</v>
      </c>
      <c r="N29" s="18">
        <f t="shared" si="6"/>
        <v>41100</v>
      </c>
    </row>
    <row r="30" spans="1:18" ht="15" customHeight="1" x14ac:dyDescent="0.3">
      <c r="A30" s="2" t="s">
        <v>15</v>
      </c>
      <c r="B30" s="14">
        <f t="shared" ref="B30:M30" si="16">500*B8</f>
        <v>1500</v>
      </c>
      <c r="C30" s="14">
        <f t="shared" si="16"/>
        <v>1500</v>
      </c>
      <c r="D30" s="14">
        <f t="shared" si="16"/>
        <v>2000</v>
      </c>
      <c r="E30" s="14">
        <f t="shared" si="16"/>
        <v>2000</v>
      </c>
      <c r="F30" s="14">
        <f t="shared" si="16"/>
        <v>2000</v>
      </c>
      <c r="G30" s="14">
        <f t="shared" si="16"/>
        <v>2000</v>
      </c>
      <c r="H30" s="14">
        <f t="shared" si="16"/>
        <v>3000</v>
      </c>
      <c r="I30" s="14">
        <f t="shared" si="16"/>
        <v>3000</v>
      </c>
      <c r="J30" s="14">
        <f t="shared" si="16"/>
        <v>3000</v>
      </c>
      <c r="K30" s="14">
        <f t="shared" si="16"/>
        <v>3000</v>
      </c>
      <c r="L30" s="14">
        <f t="shared" si="16"/>
        <v>3000</v>
      </c>
      <c r="M30" s="14">
        <f t="shared" si="16"/>
        <v>3000</v>
      </c>
      <c r="N30" s="18">
        <f t="shared" si="6"/>
        <v>29000</v>
      </c>
    </row>
    <row r="31" spans="1:18" ht="15" customHeight="1" x14ac:dyDescent="0.3">
      <c r="A31" s="2" t="s">
        <v>16</v>
      </c>
      <c r="B31" s="14">
        <f t="shared" ref="B31:M31" si="17">600*B8</f>
        <v>1800</v>
      </c>
      <c r="C31" s="14">
        <f t="shared" si="17"/>
        <v>1800</v>
      </c>
      <c r="D31" s="14">
        <f t="shared" si="17"/>
        <v>2400</v>
      </c>
      <c r="E31" s="14">
        <f t="shared" si="17"/>
        <v>2400</v>
      </c>
      <c r="F31" s="14">
        <f t="shared" si="17"/>
        <v>2400</v>
      </c>
      <c r="G31" s="14">
        <f t="shared" si="17"/>
        <v>2400</v>
      </c>
      <c r="H31" s="14">
        <f t="shared" si="17"/>
        <v>3600</v>
      </c>
      <c r="I31" s="14">
        <f t="shared" si="17"/>
        <v>3600</v>
      </c>
      <c r="J31" s="14">
        <f t="shared" si="17"/>
        <v>3600</v>
      </c>
      <c r="K31" s="14">
        <f t="shared" si="17"/>
        <v>3600</v>
      </c>
      <c r="L31" s="14">
        <f t="shared" si="17"/>
        <v>3600</v>
      </c>
      <c r="M31" s="14">
        <f t="shared" si="17"/>
        <v>3600</v>
      </c>
      <c r="N31" s="18">
        <f t="shared" si="6"/>
        <v>34800</v>
      </c>
    </row>
    <row r="32" spans="1:18" ht="15" customHeight="1" x14ac:dyDescent="0.3">
      <c r="A32" s="2" t="s">
        <v>17</v>
      </c>
      <c r="B32" s="14">
        <f t="shared" ref="B32:M32" si="18">25*B8</f>
        <v>75</v>
      </c>
      <c r="C32" s="14">
        <v>40</v>
      </c>
      <c r="D32" s="14">
        <f t="shared" si="18"/>
        <v>100</v>
      </c>
      <c r="E32" s="14">
        <f t="shared" si="18"/>
        <v>100</v>
      </c>
      <c r="F32" s="14">
        <f t="shared" si="18"/>
        <v>100</v>
      </c>
      <c r="G32" s="14">
        <f t="shared" si="18"/>
        <v>100</v>
      </c>
      <c r="H32" s="14">
        <f t="shared" si="18"/>
        <v>150</v>
      </c>
      <c r="I32" s="14">
        <f t="shared" si="18"/>
        <v>150</v>
      </c>
      <c r="J32" s="14">
        <f t="shared" si="18"/>
        <v>150</v>
      </c>
      <c r="K32" s="14">
        <f t="shared" si="18"/>
        <v>150</v>
      </c>
      <c r="L32" s="14">
        <f t="shared" si="18"/>
        <v>150</v>
      </c>
      <c r="M32" s="14">
        <f t="shared" si="18"/>
        <v>150</v>
      </c>
      <c r="N32" s="18">
        <f t="shared" si="6"/>
        <v>1415</v>
      </c>
    </row>
    <row r="33" spans="1:14" ht="15" customHeight="1" x14ac:dyDescent="0.3">
      <c r="A33" s="2" t="s">
        <v>40</v>
      </c>
      <c r="B33" s="14">
        <f t="shared" ref="B33:M33" si="19">1800*B8</f>
        <v>5400</v>
      </c>
      <c r="C33" s="14">
        <f t="shared" si="19"/>
        <v>5400</v>
      </c>
      <c r="D33" s="14">
        <f t="shared" si="19"/>
        <v>7200</v>
      </c>
      <c r="E33" s="14">
        <f t="shared" si="19"/>
        <v>7200</v>
      </c>
      <c r="F33" s="14">
        <f t="shared" si="19"/>
        <v>7200</v>
      </c>
      <c r="G33" s="14">
        <f t="shared" si="19"/>
        <v>7200</v>
      </c>
      <c r="H33" s="14">
        <f t="shared" si="19"/>
        <v>10800</v>
      </c>
      <c r="I33" s="14">
        <f t="shared" si="19"/>
        <v>10800</v>
      </c>
      <c r="J33" s="14">
        <f t="shared" si="19"/>
        <v>10800</v>
      </c>
      <c r="K33" s="14">
        <f t="shared" si="19"/>
        <v>10800</v>
      </c>
      <c r="L33" s="14">
        <f t="shared" si="19"/>
        <v>10800</v>
      </c>
      <c r="M33" s="14">
        <f t="shared" si="19"/>
        <v>10800</v>
      </c>
      <c r="N33" s="18">
        <f t="shared" si="6"/>
        <v>104400</v>
      </c>
    </row>
    <row r="34" spans="1:14" ht="15" customHeight="1" x14ac:dyDescent="0.3">
      <c r="A34" s="2" t="s">
        <v>54</v>
      </c>
      <c r="B34" s="14">
        <f t="shared" ref="B34:M34" si="20">SUM(B13*4%)</f>
        <v>1080</v>
      </c>
      <c r="C34" s="14">
        <f t="shared" si="20"/>
        <v>540</v>
      </c>
      <c r="D34" s="14">
        <f t="shared" si="20"/>
        <v>1080</v>
      </c>
      <c r="E34" s="14">
        <f t="shared" si="20"/>
        <v>1440</v>
      </c>
      <c r="F34" s="14">
        <f t="shared" si="20"/>
        <v>1440</v>
      </c>
      <c r="G34" s="14">
        <f t="shared" si="20"/>
        <v>1440</v>
      </c>
      <c r="H34" s="14">
        <f t="shared" si="20"/>
        <v>1620</v>
      </c>
      <c r="I34" s="14">
        <f t="shared" si="20"/>
        <v>2160</v>
      </c>
      <c r="J34" s="14">
        <f t="shared" si="20"/>
        <v>2160</v>
      </c>
      <c r="K34" s="14">
        <f t="shared" si="20"/>
        <v>2160</v>
      </c>
      <c r="L34" s="14">
        <f t="shared" si="20"/>
        <v>2160</v>
      </c>
      <c r="M34" s="14">
        <f t="shared" si="20"/>
        <v>2160</v>
      </c>
      <c r="N34" s="18">
        <f>SUM(B34:M34)</f>
        <v>19440</v>
      </c>
    </row>
    <row r="35" spans="1:14" ht="15" customHeight="1" x14ac:dyDescent="0.3">
      <c r="A35" s="82" t="s">
        <v>81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8"/>
    </row>
    <row r="36" spans="1:14" ht="15" customHeight="1" x14ac:dyDescent="0.3">
      <c r="A36" s="3" t="s">
        <v>82</v>
      </c>
      <c r="B36" s="14">
        <v>500</v>
      </c>
      <c r="C36" s="14">
        <f>SUM(C8)*50</f>
        <v>150</v>
      </c>
      <c r="D36" s="14">
        <f t="shared" ref="D36:M36" si="21">SUM(D8)*50</f>
        <v>200</v>
      </c>
      <c r="E36" s="14">
        <f t="shared" si="21"/>
        <v>200</v>
      </c>
      <c r="F36" s="14">
        <f t="shared" si="21"/>
        <v>200</v>
      </c>
      <c r="G36" s="14">
        <f t="shared" si="21"/>
        <v>200</v>
      </c>
      <c r="H36" s="14">
        <f t="shared" si="21"/>
        <v>300</v>
      </c>
      <c r="I36" s="14">
        <f t="shared" si="21"/>
        <v>300</v>
      </c>
      <c r="J36" s="14">
        <f t="shared" si="21"/>
        <v>300</v>
      </c>
      <c r="K36" s="14">
        <f t="shared" si="21"/>
        <v>300</v>
      </c>
      <c r="L36" s="14">
        <f t="shared" si="21"/>
        <v>300</v>
      </c>
      <c r="M36" s="14">
        <f t="shared" si="21"/>
        <v>300</v>
      </c>
      <c r="N36" s="15">
        <f t="shared" ref="N36:N37" si="22">SUM(B36:M36)</f>
        <v>3250</v>
      </c>
    </row>
    <row r="37" spans="1:14" ht="15" customHeight="1" x14ac:dyDescent="0.3">
      <c r="A37" s="3" t="s">
        <v>83</v>
      </c>
      <c r="B37" s="14">
        <v>500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500</v>
      </c>
      <c r="I37" s="14">
        <v>0</v>
      </c>
      <c r="J37" s="14">
        <v>0</v>
      </c>
      <c r="K37" s="14">
        <v>0</v>
      </c>
      <c r="L37" s="14"/>
      <c r="M37" s="14"/>
      <c r="N37" s="15">
        <f t="shared" si="22"/>
        <v>1000</v>
      </c>
    </row>
    <row r="38" spans="1:14" ht="15" customHeight="1" x14ac:dyDescent="0.3">
      <c r="A38" s="3" t="s">
        <v>90</v>
      </c>
      <c r="B38" s="14">
        <f>SUM(B8*50)</f>
        <v>150</v>
      </c>
      <c r="C38" s="14">
        <f>SUM(C8*105)</f>
        <v>315</v>
      </c>
      <c r="D38" s="14">
        <v>0</v>
      </c>
      <c r="E38" s="14">
        <v>0</v>
      </c>
      <c r="F38" s="14">
        <v>0</v>
      </c>
      <c r="G38" s="14">
        <v>0</v>
      </c>
      <c r="H38" s="14">
        <f>SUM(H8*105)</f>
        <v>630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5">
        <f t="shared" ref="N38:N40" si="23">SUM(B38:M38)</f>
        <v>1095</v>
      </c>
    </row>
    <row r="39" spans="1:14" ht="15" customHeight="1" x14ac:dyDescent="0.3">
      <c r="A39" s="3" t="s">
        <v>89</v>
      </c>
      <c r="B39" s="14">
        <f>SUM(B9*50)</f>
        <v>0</v>
      </c>
      <c r="C39" s="14">
        <f>SUM(C9*50)</f>
        <v>0</v>
      </c>
      <c r="D39" s="14">
        <f>SUM(D9*50)</f>
        <v>0</v>
      </c>
      <c r="E39" s="14">
        <f>SUM(E9*50)</f>
        <v>0</v>
      </c>
      <c r="F39" s="14">
        <f>SUM(F9*50)</f>
        <v>50</v>
      </c>
      <c r="G39" s="14">
        <f>SUM(G9*50)</f>
        <v>0</v>
      </c>
      <c r="H39" s="14">
        <f>SUM(H9*105)</f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5">
        <f t="shared" si="23"/>
        <v>50</v>
      </c>
    </row>
    <row r="40" spans="1:14" ht="15" customHeight="1" x14ac:dyDescent="0.3">
      <c r="A40" s="3" t="s">
        <v>88</v>
      </c>
      <c r="B40" s="14">
        <f>SUM(B5*105)</f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5">
        <f t="shared" si="23"/>
        <v>0</v>
      </c>
    </row>
    <row r="41" spans="1:14" ht="15" customHeight="1" x14ac:dyDescent="0.3">
      <c r="A41" s="6" t="s">
        <v>8</v>
      </c>
      <c r="B41" s="15">
        <f t="shared" ref="B41:M41" si="24">SUM(B18:B34)</f>
        <v>53094.571250000001</v>
      </c>
      <c r="C41" s="15">
        <f t="shared" si="24"/>
        <v>49475.368750000001</v>
      </c>
      <c r="D41" s="15">
        <f t="shared" si="24"/>
        <v>72164.824999999997</v>
      </c>
      <c r="E41" s="15">
        <f t="shared" si="24"/>
        <v>80314.824999999997</v>
      </c>
      <c r="F41" s="15">
        <f t="shared" si="24"/>
        <v>58254.824999999997</v>
      </c>
      <c r="G41" s="15">
        <f t="shared" si="24"/>
        <v>81164.824999999997</v>
      </c>
      <c r="H41" s="15">
        <f t="shared" si="24"/>
        <v>111868.6375</v>
      </c>
      <c r="I41" s="15">
        <f t="shared" si="24"/>
        <v>103921.1875</v>
      </c>
      <c r="J41" s="15">
        <f t="shared" si="24"/>
        <v>103921.1875</v>
      </c>
      <c r="K41" s="15">
        <f t="shared" si="24"/>
        <v>103921.1875</v>
      </c>
      <c r="L41" s="15">
        <f t="shared" si="24"/>
        <v>103921.1875</v>
      </c>
      <c r="M41" s="15">
        <f t="shared" si="24"/>
        <v>103921.1875</v>
      </c>
      <c r="N41" s="18">
        <f>SUM(B41:M41)</f>
        <v>1025943.8150000001</v>
      </c>
    </row>
    <row r="42" spans="1:14" ht="15" customHeight="1" x14ac:dyDescent="0.3"/>
    <row r="43" spans="1:14" ht="15" customHeight="1" x14ac:dyDescent="0.3">
      <c r="A43" s="11" t="s">
        <v>33</v>
      </c>
      <c r="B43" s="15">
        <f t="shared" ref="B43:M43" si="25">B15-B41</f>
        <v>-26094.571250000001</v>
      </c>
      <c r="C43" s="15">
        <f t="shared" si="25"/>
        <v>522424.63124999998</v>
      </c>
      <c r="D43" s="15">
        <f t="shared" si="25"/>
        <v>1211235.175</v>
      </c>
      <c r="E43" s="15">
        <f t="shared" si="25"/>
        <v>1735585.175</v>
      </c>
      <c r="F43" s="15">
        <f t="shared" si="25"/>
        <v>326745.17499999999</v>
      </c>
      <c r="G43" s="15">
        <f t="shared" si="25"/>
        <v>2048835.175</v>
      </c>
      <c r="H43" s="15">
        <f t="shared" si="25"/>
        <v>1394431.3625</v>
      </c>
      <c r="I43" s="15">
        <f t="shared" si="25"/>
        <v>997078.8125</v>
      </c>
      <c r="J43" s="15">
        <f t="shared" si="25"/>
        <v>997078.8125</v>
      </c>
      <c r="K43" s="15">
        <f t="shared" si="25"/>
        <v>997078.8125</v>
      </c>
      <c r="L43" s="15">
        <f t="shared" si="25"/>
        <v>997078.8125</v>
      </c>
      <c r="M43" s="15">
        <f t="shared" si="25"/>
        <v>997078.8125</v>
      </c>
      <c r="N43" s="18">
        <f t="shared" si="6"/>
        <v>12198556.184999999</v>
      </c>
    </row>
    <row r="44" spans="1:14" ht="15" customHeight="1" x14ac:dyDescent="0.3">
      <c r="A44" s="1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8"/>
    </row>
    <row r="45" spans="1:14" ht="15" customHeight="1" x14ac:dyDescent="0.3"/>
    <row r="46" spans="1:14" ht="15" customHeight="1" x14ac:dyDescent="0.3">
      <c r="A46" s="10" t="s">
        <v>18</v>
      </c>
    </row>
    <row r="47" spans="1:14" ht="15" customHeight="1" x14ac:dyDescent="0.3">
      <c r="A47" s="2" t="s">
        <v>19</v>
      </c>
      <c r="B47" s="14">
        <v>0</v>
      </c>
      <c r="C47" s="14">
        <f>B51</f>
        <v>-42092.071250000001</v>
      </c>
      <c r="D47" s="14">
        <f t="shared" ref="D47:M47" si="26">C51</f>
        <v>141481.81</v>
      </c>
      <c r="E47" s="14">
        <f t="shared" si="26"/>
        <v>592302.4850000001</v>
      </c>
      <c r="F47" s="14">
        <f t="shared" si="26"/>
        <v>1251966.9100000001</v>
      </c>
      <c r="G47" s="14">
        <f t="shared" si="26"/>
        <v>1350599.5850000002</v>
      </c>
      <c r="H47" s="14">
        <f t="shared" si="26"/>
        <v>2137409.7600000002</v>
      </c>
      <c r="I47" s="14">
        <f t="shared" si="26"/>
        <v>2639358.3725000005</v>
      </c>
      <c r="J47" s="14">
        <f t="shared" si="26"/>
        <v>2984094.6850000005</v>
      </c>
      <c r="K47" s="14">
        <f t="shared" si="26"/>
        <v>3328830.9975000005</v>
      </c>
      <c r="L47" s="14">
        <f t="shared" si="26"/>
        <v>3673567.3100000005</v>
      </c>
      <c r="M47" s="14">
        <f t="shared" si="26"/>
        <v>4018303.6225000005</v>
      </c>
    </row>
    <row r="48" spans="1:14" ht="15" customHeight="1" x14ac:dyDescent="0.3">
      <c r="A48" s="2" t="s">
        <v>20</v>
      </c>
      <c r="B48" s="14">
        <f>SUM(B43)</f>
        <v>-26094.571250000001</v>
      </c>
      <c r="C48" s="14">
        <f>C43+C47</f>
        <v>480332.56</v>
      </c>
      <c r="D48" s="14">
        <f t="shared" ref="D48:L48" si="27">D43+D47</f>
        <v>1352716.9850000001</v>
      </c>
      <c r="E48" s="14">
        <f t="shared" si="27"/>
        <v>2327887.66</v>
      </c>
      <c r="F48" s="14">
        <f t="shared" si="27"/>
        <v>1578712.0850000002</v>
      </c>
      <c r="G48" s="14">
        <f t="shared" si="27"/>
        <v>3399434.7600000002</v>
      </c>
      <c r="H48" s="14">
        <f t="shared" si="27"/>
        <v>3531841.1225000005</v>
      </c>
      <c r="I48" s="14">
        <f t="shared" si="27"/>
        <v>3636437.1850000005</v>
      </c>
      <c r="J48" s="14">
        <f t="shared" si="27"/>
        <v>3981173.4975000005</v>
      </c>
      <c r="K48" s="14">
        <f t="shared" si="27"/>
        <v>4325909.8100000005</v>
      </c>
      <c r="L48" s="14">
        <f t="shared" si="27"/>
        <v>4670646.1225000005</v>
      </c>
      <c r="M48" s="14">
        <f>M43+M47</f>
        <v>5015382.4350000005</v>
      </c>
    </row>
    <row r="49" spans="1:20" ht="15" customHeight="1" x14ac:dyDescent="0.3">
      <c r="A49" s="3" t="s">
        <v>77</v>
      </c>
      <c r="B49" s="29">
        <f>SUM(B76:B80)</f>
        <v>15997.5</v>
      </c>
      <c r="C49" s="29">
        <f>SUM(C76:C80)</f>
        <v>338850.75</v>
      </c>
      <c r="D49" s="29">
        <f t="shared" ref="D49:M49" si="28">SUM(D76:D80)</f>
        <v>760414.5</v>
      </c>
      <c r="E49" s="29">
        <f t="shared" si="28"/>
        <v>1075920.75</v>
      </c>
      <c r="F49" s="29">
        <f t="shared" si="28"/>
        <v>228112.5</v>
      </c>
      <c r="G49" s="29">
        <f t="shared" si="28"/>
        <v>1262025</v>
      </c>
      <c r="H49" s="29">
        <f t="shared" si="28"/>
        <v>892482.75</v>
      </c>
      <c r="I49" s="29">
        <f t="shared" si="28"/>
        <v>652342.5</v>
      </c>
      <c r="J49" s="29">
        <f t="shared" si="28"/>
        <v>652342.5</v>
      </c>
      <c r="K49" s="29">
        <f t="shared" si="28"/>
        <v>652342.5</v>
      </c>
      <c r="L49" s="29">
        <f t="shared" si="28"/>
        <v>652342.5</v>
      </c>
      <c r="M49" s="29">
        <f t="shared" si="28"/>
        <v>652342.5</v>
      </c>
    </row>
    <row r="50" spans="1:20" ht="15" customHeight="1" x14ac:dyDescent="0.3">
      <c r="A50" s="3" t="s">
        <v>79</v>
      </c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</row>
    <row r="51" spans="1:20" ht="15" customHeight="1" x14ac:dyDescent="0.3">
      <c r="A51" s="3" t="s">
        <v>80</v>
      </c>
      <c r="B51" s="76">
        <f>SUM(B48)-B49-B50</f>
        <v>-42092.071250000001</v>
      </c>
      <c r="C51" s="76">
        <f t="shared" ref="C51:M51" si="29">SUM(C48)-C49-C50</f>
        <v>141481.81</v>
      </c>
      <c r="D51" s="76">
        <f t="shared" si="29"/>
        <v>592302.4850000001</v>
      </c>
      <c r="E51" s="76">
        <f t="shared" si="29"/>
        <v>1251966.9100000001</v>
      </c>
      <c r="F51" s="76">
        <f t="shared" si="29"/>
        <v>1350599.5850000002</v>
      </c>
      <c r="G51" s="76">
        <f t="shared" si="29"/>
        <v>2137409.7600000002</v>
      </c>
      <c r="H51" s="76">
        <f t="shared" si="29"/>
        <v>2639358.3725000005</v>
      </c>
      <c r="I51" s="76">
        <f t="shared" si="29"/>
        <v>2984094.6850000005</v>
      </c>
      <c r="J51" s="76">
        <f t="shared" si="29"/>
        <v>3328830.9975000005</v>
      </c>
      <c r="K51" s="76">
        <f t="shared" si="29"/>
        <v>3673567.3100000005</v>
      </c>
      <c r="L51" s="76">
        <f t="shared" si="29"/>
        <v>4018303.6225000005</v>
      </c>
      <c r="M51" s="76">
        <f t="shared" si="29"/>
        <v>4363039.9350000005</v>
      </c>
      <c r="P51" s="52"/>
      <c r="Q51" s="52" t="s">
        <v>68</v>
      </c>
      <c r="R51" s="52" t="s">
        <v>65</v>
      </c>
      <c r="S51" s="62" t="s">
        <v>67</v>
      </c>
      <c r="T51" s="62" t="s">
        <v>66</v>
      </c>
    </row>
    <row r="52" spans="1:20" ht="15" customHeight="1" x14ac:dyDescent="0.3">
      <c r="P52" s="50" t="s">
        <v>1</v>
      </c>
      <c r="Q52" s="74">
        <f>SUM(N65)/1</f>
        <v>0</v>
      </c>
      <c r="R52" s="51">
        <v>4200</v>
      </c>
      <c r="S52" s="51" t="e">
        <f>SUM(N65*3%)/N5</f>
        <v>#DIV/0!</v>
      </c>
      <c r="T52" s="49" t="e">
        <f>SUM(Q52:S52)/12</f>
        <v>#DIV/0!</v>
      </c>
    </row>
    <row r="53" spans="1:20" ht="15" customHeight="1" x14ac:dyDescent="0.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P53" s="50" t="s">
        <v>2</v>
      </c>
      <c r="Q53" s="74">
        <f>SUM(N66)/2.5</f>
        <v>140492.5</v>
      </c>
      <c r="R53" s="51">
        <v>4200</v>
      </c>
      <c r="S53" s="51">
        <f>SUM(N66*3%)/N6</f>
        <v>3512.3125</v>
      </c>
      <c r="T53" s="49">
        <f t="shared" ref="T53:T56" si="30">SUM(Q53:S53)/12</f>
        <v>12350.401041666666</v>
      </c>
    </row>
    <row r="54" spans="1:20" ht="15" customHeight="1" x14ac:dyDescent="0.3">
      <c r="P54" s="50" t="s">
        <v>4</v>
      </c>
      <c r="Q54" s="74">
        <f>SUM(N67)/1</f>
        <v>70113</v>
      </c>
      <c r="R54" s="51">
        <v>4200</v>
      </c>
      <c r="S54" s="51">
        <f>SUM(N67*3%)/N7</f>
        <v>2103.39</v>
      </c>
      <c r="T54" s="49">
        <f t="shared" si="30"/>
        <v>6368.0325000000003</v>
      </c>
    </row>
    <row r="55" spans="1:20" ht="15" customHeight="1" x14ac:dyDescent="0.3">
      <c r="A55" s="10" t="s">
        <v>41</v>
      </c>
      <c r="P55" s="50" t="s">
        <v>3</v>
      </c>
      <c r="Q55" s="74">
        <f>SUM(N68)/5</f>
        <v>169808</v>
      </c>
      <c r="R55" s="51">
        <v>4200</v>
      </c>
      <c r="S55" s="51">
        <f>SUM(N68*3%)/N8</f>
        <v>4245.2</v>
      </c>
      <c r="T55" s="49">
        <f t="shared" si="30"/>
        <v>14854.433333333334</v>
      </c>
    </row>
    <row r="56" spans="1:20" ht="15" customHeight="1" x14ac:dyDescent="0.3">
      <c r="A56" s="2" t="s">
        <v>1</v>
      </c>
      <c r="B56" s="34">
        <f t="shared" ref="B56:M56" si="31">SUM(B65)/B15</f>
        <v>0</v>
      </c>
      <c r="C56" s="34">
        <f t="shared" si="31"/>
        <v>0</v>
      </c>
      <c r="D56" s="34">
        <f t="shared" si="31"/>
        <v>0</v>
      </c>
      <c r="E56" s="34">
        <f t="shared" si="31"/>
        <v>0</v>
      </c>
      <c r="F56" s="34">
        <f t="shared" si="31"/>
        <v>0</v>
      </c>
      <c r="G56" s="34">
        <f t="shared" si="31"/>
        <v>0</v>
      </c>
      <c r="H56" s="34">
        <f t="shared" si="31"/>
        <v>0</v>
      </c>
      <c r="I56" s="34">
        <f t="shared" si="31"/>
        <v>0</v>
      </c>
      <c r="J56" s="34">
        <f t="shared" si="31"/>
        <v>0</v>
      </c>
      <c r="K56" s="34">
        <f t="shared" si="31"/>
        <v>0</v>
      </c>
      <c r="L56" s="34">
        <f t="shared" si="31"/>
        <v>0</v>
      </c>
      <c r="M56" s="34">
        <f t="shared" si="31"/>
        <v>0</v>
      </c>
      <c r="P56" s="50" t="s">
        <v>5</v>
      </c>
      <c r="Q56" s="74" t="e">
        <f>SUM(N69)/N9</f>
        <v>#DIV/0!</v>
      </c>
      <c r="R56" s="51">
        <v>4200</v>
      </c>
      <c r="S56" s="51" t="e">
        <f>SUM(N69*3%)/N9</f>
        <v>#DIV/0!</v>
      </c>
      <c r="T56" s="49" t="e">
        <f t="shared" si="30"/>
        <v>#DIV/0!</v>
      </c>
    </row>
    <row r="57" spans="1:20" ht="15" customHeight="1" x14ac:dyDescent="0.3">
      <c r="A57" s="2" t="s">
        <v>2</v>
      </c>
      <c r="B57" s="34">
        <f t="shared" ref="B57:M57" si="32">SUM(B66)/B15</f>
        <v>0.59259259259259256</v>
      </c>
      <c r="C57" s="34">
        <f t="shared" si="32"/>
        <v>4.0181849973771638E-2</v>
      </c>
      <c r="D57" s="34">
        <f t="shared" si="32"/>
        <v>3.0937353903693315E-2</v>
      </c>
      <c r="E57" s="34">
        <f t="shared" si="32"/>
        <v>2.5468775813646125E-2</v>
      </c>
      <c r="F57" s="34">
        <f t="shared" si="32"/>
        <v>2.172077922077922E-2</v>
      </c>
      <c r="G57" s="34">
        <f t="shared" si="32"/>
        <v>2.3556338028169015E-2</v>
      </c>
      <c r="H57" s="34">
        <f t="shared" si="32"/>
        <v>2.8096992630950009E-2</v>
      </c>
      <c r="I57" s="34">
        <f t="shared" si="32"/>
        <v>2.2786103542234332E-2</v>
      </c>
      <c r="J57" s="34">
        <f t="shared" si="32"/>
        <v>2.2786103542234332E-2</v>
      </c>
      <c r="K57" s="34">
        <f t="shared" si="32"/>
        <v>2.2786103542234332E-2</v>
      </c>
      <c r="L57" s="34">
        <f t="shared" si="32"/>
        <v>2.2786103542234332E-2</v>
      </c>
      <c r="M57" s="34">
        <f t="shared" si="32"/>
        <v>2.2786103542234332E-2</v>
      </c>
    </row>
    <row r="58" spans="1:20" ht="15" customHeight="1" x14ac:dyDescent="0.3">
      <c r="A58" s="2" t="s">
        <v>4</v>
      </c>
      <c r="B58" s="34">
        <f t="shared" ref="B58:M58" si="33">SUM(B67)/B$15</f>
        <v>0</v>
      </c>
      <c r="C58" s="34">
        <f t="shared" si="33"/>
        <v>0</v>
      </c>
      <c r="D58" s="34">
        <f t="shared" si="33"/>
        <v>0</v>
      </c>
      <c r="E58" s="34">
        <f t="shared" si="33"/>
        <v>0</v>
      </c>
      <c r="F58" s="34">
        <f t="shared" si="33"/>
        <v>0</v>
      </c>
      <c r="G58" s="34">
        <f t="shared" si="33"/>
        <v>0</v>
      </c>
      <c r="H58" s="34">
        <f t="shared" si="33"/>
        <v>0.01</v>
      </c>
      <c r="I58" s="34">
        <f t="shared" si="33"/>
        <v>0.01</v>
      </c>
      <c r="J58" s="34">
        <f t="shared" si="33"/>
        <v>0.01</v>
      </c>
      <c r="K58" s="34">
        <f t="shared" si="33"/>
        <v>0.01</v>
      </c>
      <c r="L58" s="34">
        <f t="shared" si="33"/>
        <v>0.01</v>
      </c>
      <c r="M58" s="34">
        <f t="shared" si="33"/>
        <v>0.01</v>
      </c>
    </row>
    <row r="59" spans="1:20" ht="15" customHeight="1" x14ac:dyDescent="0.3">
      <c r="A59" s="2" t="s">
        <v>3</v>
      </c>
      <c r="B59" s="34">
        <f t="shared" ref="B59:M59" si="34">SUM(B68)/B$15</f>
        <v>0</v>
      </c>
      <c r="C59" s="34">
        <f t="shared" si="34"/>
        <v>6.134988634376639E-2</v>
      </c>
      <c r="D59" s="34">
        <f t="shared" si="34"/>
        <v>5.5910861773414366E-2</v>
      </c>
      <c r="E59" s="34">
        <f t="shared" si="34"/>
        <v>5.3524973842171926E-2</v>
      </c>
      <c r="F59" s="34">
        <f t="shared" si="34"/>
        <v>0.1037922077922078</v>
      </c>
      <c r="G59" s="34">
        <f t="shared" si="34"/>
        <v>5.1530516431924883E-2</v>
      </c>
      <c r="H59" s="34">
        <f t="shared" si="34"/>
        <v>6.0334594702250548E-2</v>
      </c>
      <c r="I59" s="34">
        <f t="shared" si="34"/>
        <v>7.3460490463215261E-2</v>
      </c>
      <c r="J59" s="34">
        <f t="shared" si="34"/>
        <v>7.3460490463215261E-2</v>
      </c>
      <c r="K59" s="34">
        <f t="shared" si="34"/>
        <v>7.3460490463215261E-2</v>
      </c>
      <c r="L59" s="34">
        <f t="shared" si="34"/>
        <v>7.3460490463215261E-2</v>
      </c>
      <c r="M59" s="34">
        <f t="shared" si="34"/>
        <v>7.3460490463215261E-2</v>
      </c>
    </row>
    <row r="60" spans="1:20" ht="15" customHeight="1" x14ac:dyDescent="0.3">
      <c r="A60" s="2" t="s">
        <v>5</v>
      </c>
      <c r="B60" s="34">
        <f t="shared" ref="B60:M60" si="35">SUM(B69)/B$15</f>
        <v>0</v>
      </c>
      <c r="C60" s="34">
        <f t="shared" si="35"/>
        <v>0</v>
      </c>
      <c r="D60" s="34">
        <f t="shared" si="35"/>
        <v>0</v>
      </c>
      <c r="E60" s="34">
        <f t="shared" si="35"/>
        <v>0</v>
      </c>
      <c r="F60" s="34">
        <f t="shared" si="35"/>
        <v>0</v>
      </c>
      <c r="G60" s="34">
        <f t="shared" si="35"/>
        <v>0</v>
      </c>
      <c r="H60" s="34">
        <f t="shared" si="35"/>
        <v>0</v>
      </c>
      <c r="I60" s="34">
        <f t="shared" si="35"/>
        <v>0</v>
      </c>
      <c r="J60" s="34">
        <f t="shared" si="35"/>
        <v>0</v>
      </c>
      <c r="K60" s="34">
        <f t="shared" si="35"/>
        <v>0</v>
      </c>
      <c r="L60" s="34">
        <f t="shared" si="35"/>
        <v>0</v>
      </c>
      <c r="M60" s="34">
        <f t="shared" si="35"/>
        <v>0</v>
      </c>
    </row>
    <row r="61" spans="1:20" ht="15" customHeight="1" x14ac:dyDescent="0.3">
      <c r="A61" s="31" t="s">
        <v>8</v>
      </c>
      <c r="B61" s="35">
        <f t="shared" ref="B61:M61" si="36">SUM(B56:B60)</f>
        <v>0.59259259259259256</v>
      </c>
      <c r="C61" s="35">
        <f t="shared" si="36"/>
        <v>0.10153173631753803</v>
      </c>
      <c r="D61" s="35">
        <f t="shared" si="36"/>
        <v>8.6848215677107682E-2</v>
      </c>
      <c r="E61" s="35">
        <f t="shared" si="36"/>
        <v>7.8993749655818055E-2</v>
      </c>
      <c r="F61" s="35">
        <f t="shared" si="36"/>
        <v>0.12551298701298702</v>
      </c>
      <c r="G61" s="35">
        <f t="shared" si="36"/>
        <v>7.5086854460093902E-2</v>
      </c>
      <c r="H61" s="35">
        <f t="shared" si="36"/>
        <v>9.8431587333200565E-2</v>
      </c>
      <c r="I61" s="35">
        <f t="shared" si="36"/>
        <v>0.10624659400544958</v>
      </c>
      <c r="J61" s="35">
        <f t="shared" si="36"/>
        <v>0.10624659400544958</v>
      </c>
      <c r="K61" s="35">
        <f t="shared" si="36"/>
        <v>0.10624659400544958</v>
      </c>
      <c r="L61" s="35">
        <f t="shared" si="36"/>
        <v>0.10624659400544958</v>
      </c>
      <c r="M61" s="35">
        <f t="shared" si="36"/>
        <v>0.10624659400544958</v>
      </c>
    </row>
    <row r="62" spans="1:20" ht="15" customHeight="1" x14ac:dyDescent="0.3">
      <c r="A62" s="37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20" ht="15" customHeight="1" x14ac:dyDescent="0.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20" ht="15" customHeight="1" x14ac:dyDescent="0.3">
      <c r="A64" s="28" t="s">
        <v>42</v>
      </c>
    </row>
    <row r="65" spans="1:19" ht="15" customHeight="1" x14ac:dyDescent="0.3">
      <c r="A65" s="2" t="s">
        <v>1</v>
      </c>
      <c r="B65" s="14">
        <f t="shared" ref="B65:M65" si="37">SUM(B5*$Q5)+(B14*$R5)+(B13*$S5)</f>
        <v>0</v>
      </c>
      <c r="C65" s="14">
        <f t="shared" si="37"/>
        <v>0</v>
      </c>
      <c r="D65" s="14">
        <f t="shared" si="37"/>
        <v>0</v>
      </c>
      <c r="E65" s="14">
        <f t="shared" si="37"/>
        <v>0</v>
      </c>
      <c r="F65" s="14">
        <f t="shared" si="37"/>
        <v>0</v>
      </c>
      <c r="G65" s="14">
        <f t="shared" si="37"/>
        <v>0</v>
      </c>
      <c r="H65" s="14">
        <f t="shared" si="37"/>
        <v>0</v>
      </c>
      <c r="I65" s="14">
        <f t="shared" si="37"/>
        <v>0</v>
      </c>
      <c r="J65" s="14">
        <f t="shared" si="37"/>
        <v>0</v>
      </c>
      <c r="K65" s="14">
        <f t="shared" si="37"/>
        <v>0</v>
      </c>
      <c r="L65" s="14">
        <f t="shared" si="37"/>
        <v>0</v>
      </c>
      <c r="M65" s="14">
        <f t="shared" si="37"/>
        <v>0</v>
      </c>
      <c r="N65" s="73">
        <f>SUM(B65:M65)</f>
        <v>0</v>
      </c>
    </row>
    <row r="66" spans="1:19" ht="15" customHeight="1" x14ac:dyDescent="0.3">
      <c r="A66" s="2" t="s">
        <v>2</v>
      </c>
      <c r="B66" s="14">
        <f t="shared" ref="B66:M66" si="38">SUM(B6*$Q6)+(B$13*$S6)+(B$14*$R6)</f>
        <v>16000</v>
      </c>
      <c r="C66" s="14">
        <f t="shared" si="38"/>
        <v>22980</v>
      </c>
      <c r="D66" s="14">
        <f t="shared" si="38"/>
        <v>39705</v>
      </c>
      <c r="E66" s="14">
        <f t="shared" si="38"/>
        <v>46248.75</v>
      </c>
      <c r="F66" s="14">
        <f t="shared" si="38"/>
        <v>8362.5</v>
      </c>
      <c r="G66" s="14">
        <f t="shared" si="38"/>
        <v>50175</v>
      </c>
      <c r="H66" s="14">
        <f t="shared" si="38"/>
        <v>42322.5</v>
      </c>
      <c r="I66" s="14">
        <f t="shared" si="38"/>
        <v>25087.5</v>
      </c>
      <c r="J66" s="14">
        <f t="shared" si="38"/>
        <v>25087.5</v>
      </c>
      <c r="K66" s="14">
        <f t="shared" si="38"/>
        <v>25087.5</v>
      </c>
      <c r="L66" s="14">
        <f t="shared" si="38"/>
        <v>25087.5</v>
      </c>
      <c r="M66" s="14">
        <f t="shared" si="38"/>
        <v>25087.5</v>
      </c>
      <c r="N66" s="73">
        <f>SUM(B66:M66)</f>
        <v>351231.25</v>
      </c>
    </row>
    <row r="67" spans="1:19" ht="15" customHeight="1" x14ac:dyDescent="0.3">
      <c r="A67" s="2" t="s">
        <v>4</v>
      </c>
      <c r="B67" s="14"/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f t="shared" ref="H67:M69" si="39">SUM(H7*$Q7)+(H$13*$S7)+(H$14*$R7)</f>
        <v>15063</v>
      </c>
      <c r="I67" s="14">
        <f t="shared" si="39"/>
        <v>11010</v>
      </c>
      <c r="J67" s="14">
        <f t="shared" si="39"/>
        <v>11010</v>
      </c>
      <c r="K67" s="14">
        <f t="shared" si="39"/>
        <v>11010</v>
      </c>
      <c r="L67" s="14">
        <f t="shared" si="39"/>
        <v>11010</v>
      </c>
      <c r="M67" s="14">
        <f t="shared" si="39"/>
        <v>11010</v>
      </c>
      <c r="N67" s="73">
        <f>SUM(B67:M67)</f>
        <v>70113</v>
      </c>
    </row>
    <row r="68" spans="1:19" ht="15" customHeight="1" x14ac:dyDescent="0.3">
      <c r="A68" s="2" t="s">
        <v>3</v>
      </c>
      <c r="B68" s="14">
        <v>0</v>
      </c>
      <c r="C68" s="14">
        <f>SUM(C8*$Q8)+(C$13*$S8)+(C$14*$R8)</f>
        <v>35086</v>
      </c>
      <c r="D68" s="14">
        <f>SUM(D8*$Q8)+(D$13*$S8)+(D$14*$R8)</f>
        <v>71756</v>
      </c>
      <c r="E68" s="14">
        <f>SUM(E8*$Q8)+(E$13*$S8)+(E$14*$R8)</f>
        <v>97196</v>
      </c>
      <c r="F68" s="14">
        <f>SUM(F8*$Q8)+(F$13*$S8)+(F$14*$R8)</f>
        <v>39960</v>
      </c>
      <c r="G68" s="14">
        <f>SUM(G8*$Q8)+(G$13*$S8)+(G$14*$R8)</f>
        <v>109760</v>
      </c>
      <c r="H68" s="14">
        <f t="shared" si="39"/>
        <v>90882</v>
      </c>
      <c r="I68" s="14">
        <f t="shared" si="39"/>
        <v>80880</v>
      </c>
      <c r="J68" s="14">
        <f t="shared" si="39"/>
        <v>80880</v>
      </c>
      <c r="K68" s="14">
        <f t="shared" si="39"/>
        <v>80880</v>
      </c>
      <c r="L68" s="14">
        <f t="shared" si="39"/>
        <v>80880</v>
      </c>
      <c r="M68" s="14">
        <f t="shared" si="39"/>
        <v>80880</v>
      </c>
      <c r="N68" s="73">
        <f>SUM(B68:M68)</f>
        <v>849040</v>
      </c>
    </row>
    <row r="69" spans="1:19" ht="15" customHeight="1" x14ac:dyDescent="0.3">
      <c r="A69" s="2" t="s">
        <v>5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f t="shared" si="39"/>
        <v>0</v>
      </c>
      <c r="I69" s="14">
        <f t="shared" si="39"/>
        <v>0</v>
      </c>
      <c r="J69" s="14">
        <f t="shared" si="39"/>
        <v>0</v>
      </c>
      <c r="K69" s="14">
        <f t="shared" si="39"/>
        <v>0</v>
      </c>
      <c r="L69" s="14">
        <f t="shared" si="39"/>
        <v>0</v>
      </c>
      <c r="M69" s="14">
        <f t="shared" si="39"/>
        <v>0</v>
      </c>
      <c r="N69" s="73">
        <f t="shared" ref="N69" si="40">SUM(B69:M69)</f>
        <v>0</v>
      </c>
    </row>
    <row r="70" spans="1:19" ht="15" customHeight="1" x14ac:dyDescent="0.3">
      <c r="A70" s="38" t="s">
        <v>76</v>
      </c>
      <c r="B70" s="14">
        <f t="shared" ref="B70:M70" si="41">SUM(B22:B24)</f>
        <v>1830.07125</v>
      </c>
      <c r="C70" s="14">
        <f t="shared" si="41"/>
        <v>2144.8687500000001</v>
      </c>
      <c r="D70" s="14">
        <f t="shared" si="41"/>
        <v>3063.8249999999998</v>
      </c>
      <c r="E70" s="14">
        <f t="shared" si="41"/>
        <v>3063.8249999999998</v>
      </c>
      <c r="F70" s="14">
        <f t="shared" si="41"/>
        <v>1533.825</v>
      </c>
      <c r="G70" s="14">
        <f t="shared" si="41"/>
        <v>3063.8249999999998</v>
      </c>
      <c r="H70" s="14">
        <f t="shared" si="41"/>
        <v>14839.637499999999</v>
      </c>
      <c r="I70" s="14">
        <f t="shared" si="41"/>
        <v>11668.1875</v>
      </c>
      <c r="J70" s="14">
        <f t="shared" si="41"/>
        <v>11668.1875</v>
      </c>
      <c r="K70" s="14">
        <f t="shared" si="41"/>
        <v>11668.1875</v>
      </c>
      <c r="L70" s="14">
        <f t="shared" si="41"/>
        <v>11668.1875</v>
      </c>
      <c r="M70" s="14">
        <f t="shared" si="41"/>
        <v>11668.1875</v>
      </c>
      <c r="N70" s="73">
        <f>SUM(B70:M70)</f>
        <v>87880.815000000002</v>
      </c>
    </row>
    <row r="71" spans="1:19" ht="15" customHeight="1" x14ac:dyDescent="0.3">
      <c r="A71" s="6" t="s">
        <v>8</v>
      </c>
      <c r="B71" s="33">
        <f>SUM(B65:B70)</f>
        <v>17830.071250000001</v>
      </c>
      <c r="C71" s="33">
        <f t="shared" ref="C71:M71" si="42">SUM(C65:C70)</f>
        <v>60210.868750000001</v>
      </c>
      <c r="D71" s="33">
        <f t="shared" si="42"/>
        <v>114524.825</v>
      </c>
      <c r="E71" s="33">
        <f t="shared" si="42"/>
        <v>146508.57500000001</v>
      </c>
      <c r="F71" s="33">
        <f t="shared" si="42"/>
        <v>49856.324999999997</v>
      </c>
      <c r="G71" s="33">
        <f t="shared" si="42"/>
        <v>162998.82500000001</v>
      </c>
      <c r="H71" s="33">
        <f t="shared" si="42"/>
        <v>163107.13750000001</v>
      </c>
      <c r="I71" s="33">
        <f t="shared" si="42"/>
        <v>128645.6875</v>
      </c>
      <c r="J71" s="33">
        <f t="shared" si="42"/>
        <v>128645.6875</v>
      </c>
      <c r="K71" s="33">
        <f t="shared" si="42"/>
        <v>128645.6875</v>
      </c>
      <c r="L71" s="33">
        <f t="shared" si="42"/>
        <v>128645.6875</v>
      </c>
      <c r="M71" s="33">
        <f t="shared" si="42"/>
        <v>128645.6875</v>
      </c>
      <c r="N71" s="73">
        <f>SUM(B71:M71)</f>
        <v>1358265.0649999999</v>
      </c>
      <c r="P71" s="47">
        <f>SUM(100%-O81)</f>
        <v>0.32951302015199058</v>
      </c>
      <c r="Q71" s="48" t="s">
        <v>45</v>
      </c>
    </row>
    <row r="72" spans="1:19" ht="15" customHeight="1" x14ac:dyDescent="0.3">
      <c r="P72" s="30">
        <f>SUM(N15)*P71</f>
        <v>4357644.9349999996</v>
      </c>
      <c r="Q72" s="48" t="s">
        <v>46</v>
      </c>
    </row>
    <row r="73" spans="1:19" ht="15" customHeight="1" x14ac:dyDescent="0.3">
      <c r="Q73" s="79"/>
    </row>
    <row r="74" spans="1:19" ht="15" customHeight="1" x14ac:dyDescent="0.3">
      <c r="A74" s="10" t="s">
        <v>59</v>
      </c>
      <c r="O74" s="45" t="s">
        <v>44</v>
      </c>
      <c r="Q74" s="45" t="s">
        <v>58</v>
      </c>
      <c r="R74" s="45" t="s">
        <v>44</v>
      </c>
      <c r="S74" s="45" t="s">
        <v>55</v>
      </c>
    </row>
    <row r="75" spans="1:19" ht="15" customHeight="1" x14ac:dyDescent="0.3">
      <c r="A75" s="3" t="s">
        <v>71</v>
      </c>
      <c r="B75" s="29">
        <f>SUM( B18:B40)</f>
        <v>54244.571250000001</v>
      </c>
      <c r="C75" s="29">
        <f t="shared" ref="C75:M75" si="43">SUM( C18:C40)</f>
        <v>49940.368750000001</v>
      </c>
      <c r="D75" s="29">
        <f t="shared" si="43"/>
        <v>72364.824999999997</v>
      </c>
      <c r="E75" s="29">
        <f t="shared" si="43"/>
        <v>80514.824999999997</v>
      </c>
      <c r="F75" s="29">
        <f t="shared" si="43"/>
        <v>58504.824999999997</v>
      </c>
      <c r="G75" s="29">
        <f t="shared" si="43"/>
        <v>81364.824999999997</v>
      </c>
      <c r="H75" s="29">
        <f t="shared" si="43"/>
        <v>113298.6375</v>
      </c>
      <c r="I75" s="29">
        <f t="shared" si="43"/>
        <v>104221.1875</v>
      </c>
      <c r="J75" s="29">
        <f t="shared" si="43"/>
        <v>104221.1875</v>
      </c>
      <c r="K75" s="29">
        <f t="shared" si="43"/>
        <v>104221.1875</v>
      </c>
      <c r="L75" s="29">
        <f t="shared" si="43"/>
        <v>104221.1875</v>
      </c>
      <c r="M75" s="29">
        <f t="shared" si="43"/>
        <v>104221.1875</v>
      </c>
      <c r="N75" s="33">
        <f>SUM(B75:M75)</f>
        <v>1031338.8150000001</v>
      </c>
      <c r="O75" s="44">
        <f>SUM(N75)/N15</f>
        <v>7.7986979848009383E-2</v>
      </c>
      <c r="Q75" s="60" t="s">
        <v>56</v>
      </c>
      <c r="R75" s="47">
        <f>SUM(P71)</f>
        <v>0.32951302015199058</v>
      </c>
      <c r="S75" s="30">
        <f>SUM(P72)*R75</f>
        <v>1435900.7432818746</v>
      </c>
    </row>
    <row r="76" spans="1:19" ht="15" customHeight="1" x14ac:dyDescent="0.3">
      <c r="A76" s="46" t="s">
        <v>60</v>
      </c>
      <c r="B76" s="29">
        <f>SUM(B15)*25%</f>
        <v>6750</v>
      </c>
      <c r="C76" s="29">
        <f t="shared" ref="C76:N76" si="44">SUM(C15)*25%</f>
        <v>142975</v>
      </c>
      <c r="D76" s="29">
        <f t="shared" si="44"/>
        <v>320850</v>
      </c>
      <c r="E76" s="29">
        <f t="shared" si="44"/>
        <v>453975</v>
      </c>
      <c r="F76" s="29">
        <f t="shared" si="44"/>
        <v>96250</v>
      </c>
      <c r="G76" s="29">
        <f t="shared" si="44"/>
        <v>532500</v>
      </c>
      <c r="H76" s="29">
        <f t="shared" si="44"/>
        <v>376575</v>
      </c>
      <c r="I76" s="29">
        <f t="shared" si="44"/>
        <v>275250</v>
      </c>
      <c r="J76" s="29">
        <f t="shared" si="44"/>
        <v>275250</v>
      </c>
      <c r="K76" s="29">
        <f t="shared" si="44"/>
        <v>275250</v>
      </c>
      <c r="L76" s="29">
        <f t="shared" si="44"/>
        <v>275250</v>
      </c>
      <c r="M76" s="29">
        <f t="shared" si="44"/>
        <v>275250</v>
      </c>
      <c r="N76" s="33">
        <f t="shared" si="44"/>
        <v>3306125</v>
      </c>
      <c r="O76" s="44">
        <f>SUM(N76)/N15</f>
        <v>0.25</v>
      </c>
    </row>
    <row r="77" spans="1:19" ht="15" customHeight="1" x14ac:dyDescent="0.3">
      <c r="A77" s="3" t="s">
        <v>78</v>
      </c>
      <c r="B77" s="29">
        <f t="shared" ref="B77:M77" si="45">SUM(B15)*25%</f>
        <v>6750</v>
      </c>
      <c r="C77" s="29">
        <f t="shared" si="45"/>
        <v>142975</v>
      </c>
      <c r="D77" s="29">
        <f t="shared" si="45"/>
        <v>320850</v>
      </c>
      <c r="E77" s="29">
        <f t="shared" si="45"/>
        <v>453975</v>
      </c>
      <c r="F77" s="29">
        <f t="shared" si="45"/>
        <v>96250</v>
      </c>
      <c r="G77" s="29">
        <f t="shared" si="45"/>
        <v>532500</v>
      </c>
      <c r="H77" s="29">
        <f t="shared" si="45"/>
        <v>376575</v>
      </c>
      <c r="I77" s="29">
        <f t="shared" si="45"/>
        <v>275250</v>
      </c>
      <c r="J77" s="29">
        <f t="shared" si="45"/>
        <v>275250</v>
      </c>
      <c r="K77" s="29">
        <f t="shared" si="45"/>
        <v>275250</v>
      </c>
      <c r="L77" s="29">
        <f t="shared" si="45"/>
        <v>275250</v>
      </c>
      <c r="M77" s="29">
        <f t="shared" si="45"/>
        <v>275250</v>
      </c>
      <c r="N77" s="33">
        <f t="shared" ref="N77:N80" si="46">SUM(B77:M77)</f>
        <v>3306125</v>
      </c>
      <c r="O77" s="44">
        <f>SUM(N77)/N15</f>
        <v>0.25</v>
      </c>
      <c r="Q77" s="5" t="s">
        <v>57</v>
      </c>
      <c r="R77" s="59" t="s">
        <v>44</v>
      </c>
      <c r="S77" s="59" t="s">
        <v>55</v>
      </c>
    </row>
    <row r="78" spans="1:19" ht="15" customHeight="1" x14ac:dyDescent="0.3">
      <c r="A78" s="3" t="s">
        <v>91</v>
      </c>
      <c r="B78" s="29">
        <f>SUM(B15)*5%</f>
        <v>1350</v>
      </c>
      <c r="C78" s="29">
        <f t="shared" ref="C78:M78" si="47">SUM(C15)*5%</f>
        <v>28595</v>
      </c>
      <c r="D78" s="29">
        <f t="shared" si="47"/>
        <v>64170</v>
      </c>
      <c r="E78" s="29">
        <f t="shared" si="47"/>
        <v>90795</v>
      </c>
      <c r="F78" s="29">
        <f t="shared" si="47"/>
        <v>19250</v>
      </c>
      <c r="G78" s="29">
        <f t="shared" si="47"/>
        <v>106500</v>
      </c>
      <c r="H78" s="29">
        <f t="shared" si="47"/>
        <v>75315</v>
      </c>
      <c r="I78" s="29">
        <f t="shared" si="47"/>
        <v>55050</v>
      </c>
      <c r="J78" s="29">
        <f t="shared" si="47"/>
        <v>55050</v>
      </c>
      <c r="K78" s="29">
        <f t="shared" si="47"/>
        <v>55050</v>
      </c>
      <c r="L78" s="29">
        <f t="shared" si="47"/>
        <v>55050</v>
      </c>
      <c r="M78" s="29">
        <f t="shared" si="47"/>
        <v>55050</v>
      </c>
      <c r="N78" s="33">
        <f>SUM(B78:M78)</f>
        <v>661225</v>
      </c>
      <c r="O78" s="44">
        <f>SUM(N78)/N15</f>
        <v>0.05</v>
      </c>
      <c r="Q78" s="60" t="s">
        <v>56</v>
      </c>
      <c r="R78" s="47">
        <f>100%-R75</f>
        <v>0.67048697984800942</v>
      </c>
      <c r="S78" s="30">
        <f>SUM(P72)*R78</f>
        <v>2921744.1917181253</v>
      </c>
    </row>
    <row r="79" spans="1:19" ht="15" customHeight="1" x14ac:dyDescent="0.3">
      <c r="A79" s="3" t="s">
        <v>92</v>
      </c>
      <c r="B79" s="29">
        <f>SUM(B15)*3%</f>
        <v>810</v>
      </c>
      <c r="C79" s="29">
        <f t="shared" ref="C79:M79" si="48">SUM(C15)*3%</f>
        <v>17157</v>
      </c>
      <c r="D79" s="29">
        <f t="shared" si="48"/>
        <v>38502</v>
      </c>
      <c r="E79" s="29">
        <f t="shared" si="48"/>
        <v>54477</v>
      </c>
      <c r="F79" s="29">
        <f t="shared" si="48"/>
        <v>11550</v>
      </c>
      <c r="G79" s="29">
        <f t="shared" si="48"/>
        <v>63900</v>
      </c>
      <c r="H79" s="29">
        <f t="shared" si="48"/>
        <v>45189</v>
      </c>
      <c r="I79" s="29">
        <f t="shared" si="48"/>
        <v>33030</v>
      </c>
      <c r="J79" s="29">
        <f t="shared" si="48"/>
        <v>33030</v>
      </c>
      <c r="K79" s="29">
        <f t="shared" si="48"/>
        <v>33030</v>
      </c>
      <c r="L79" s="29">
        <f t="shared" si="48"/>
        <v>33030</v>
      </c>
      <c r="M79" s="29">
        <f t="shared" si="48"/>
        <v>33030</v>
      </c>
      <c r="N79" s="43">
        <f t="shared" si="46"/>
        <v>396735</v>
      </c>
      <c r="O79" s="44">
        <f>SUM(N79)/N15</f>
        <v>0.03</v>
      </c>
    </row>
    <row r="80" spans="1:19" ht="15" customHeight="1" x14ac:dyDescent="0.3">
      <c r="A80" s="3" t="s">
        <v>48</v>
      </c>
      <c r="B80" s="29">
        <f t="shared" ref="B80:M80" si="49">SUM(B15)*1.25%</f>
        <v>337.5</v>
      </c>
      <c r="C80" s="29">
        <f t="shared" si="49"/>
        <v>7148.75</v>
      </c>
      <c r="D80" s="29">
        <f t="shared" si="49"/>
        <v>16042.5</v>
      </c>
      <c r="E80" s="29">
        <f t="shared" si="49"/>
        <v>22698.75</v>
      </c>
      <c r="F80" s="29">
        <f t="shared" si="49"/>
        <v>4812.5</v>
      </c>
      <c r="G80" s="29">
        <f t="shared" si="49"/>
        <v>26625</v>
      </c>
      <c r="H80" s="29">
        <f t="shared" si="49"/>
        <v>18828.75</v>
      </c>
      <c r="I80" s="29">
        <f t="shared" si="49"/>
        <v>13762.5</v>
      </c>
      <c r="J80" s="29">
        <f t="shared" si="49"/>
        <v>13762.5</v>
      </c>
      <c r="K80" s="29">
        <f t="shared" si="49"/>
        <v>13762.5</v>
      </c>
      <c r="L80" s="29">
        <f t="shared" si="49"/>
        <v>13762.5</v>
      </c>
      <c r="M80" s="29">
        <f t="shared" si="49"/>
        <v>13762.5</v>
      </c>
      <c r="N80" s="33">
        <f t="shared" si="46"/>
        <v>165306.25</v>
      </c>
      <c r="O80" s="44">
        <f>SUM(N80)/N15</f>
        <v>1.2500000000000001E-2</v>
      </c>
      <c r="P80" s="80"/>
    </row>
    <row r="81" spans="1:16" ht="15" customHeight="1" x14ac:dyDescent="0.3">
      <c r="A81" s="6" t="s">
        <v>8</v>
      </c>
      <c r="B81" s="33">
        <f>SUM(B75:B80)</f>
        <v>70242.071250000008</v>
      </c>
      <c r="C81" s="33">
        <f t="shared" ref="C81:N81" si="50">SUM(C75:C80)</f>
        <v>388791.11875000002</v>
      </c>
      <c r="D81" s="33">
        <f t="shared" si="50"/>
        <v>832779.32499999995</v>
      </c>
      <c r="E81" s="33">
        <f t="shared" si="50"/>
        <v>1156435.575</v>
      </c>
      <c r="F81" s="33">
        <f t="shared" si="50"/>
        <v>286617.32500000001</v>
      </c>
      <c r="G81" s="33">
        <f t="shared" si="50"/>
        <v>1343389.825</v>
      </c>
      <c r="H81" s="33">
        <f t="shared" si="50"/>
        <v>1005781.3875</v>
      </c>
      <c r="I81" s="33">
        <f t="shared" si="50"/>
        <v>756563.6875</v>
      </c>
      <c r="J81" s="33">
        <f t="shared" si="50"/>
        <v>756563.6875</v>
      </c>
      <c r="K81" s="33">
        <f t="shared" si="50"/>
        <v>756563.6875</v>
      </c>
      <c r="L81" s="33">
        <f t="shared" si="50"/>
        <v>756563.6875</v>
      </c>
      <c r="M81" s="33">
        <f t="shared" si="50"/>
        <v>756563.6875</v>
      </c>
      <c r="N81" s="33">
        <f t="shared" si="50"/>
        <v>8866855.0650000013</v>
      </c>
      <c r="O81" s="81">
        <f>SUM(O75:O80)</f>
        <v>0.67048697984800942</v>
      </c>
      <c r="P81" s="78"/>
    </row>
    <row r="82" spans="1:16" ht="15" customHeight="1" x14ac:dyDescent="0.3">
      <c r="N82" s="77"/>
    </row>
    <row r="83" spans="1:16" ht="15" customHeight="1" x14ac:dyDescent="0.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69"/>
    </row>
    <row r="84" spans="1:16" ht="15" customHeight="1" x14ac:dyDescent="0.3"/>
    <row r="85" spans="1:16" ht="15" customHeight="1" x14ac:dyDescent="0.3"/>
    <row r="86" spans="1:16" ht="15" customHeight="1" x14ac:dyDescent="0.3"/>
    <row r="87" spans="1:16" ht="15" customHeight="1" x14ac:dyDescent="0.3"/>
    <row r="88" spans="1:16" ht="15" customHeight="1" x14ac:dyDescent="0.3"/>
    <row r="89" spans="1:16" ht="15" customHeight="1" x14ac:dyDescent="0.3"/>
    <row r="90" spans="1:16" ht="15" customHeight="1" x14ac:dyDescent="0.3"/>
    <row r="91" spans="1:16" ht="15" customHeight="1" x14ac:dyDescent="0.3"/>
    <row r="92" spans="1:16" ht="15" customHeight="1" x14ac:dyDescent="0.3"/>
    <row r="93" spans="1:16" ht="15" customHeight="1" x14ac:dyDescent="0.3"/>
    <row r="94" spans="1:16" ht="15" customHeight="1" x14ac:dyDescent="0.3"/>
    <row r="95" spans="1:16" ht="15" customHeight="1" x14ac:dyDescent="0.3"/>
    <row r="96" spans="1:1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</sheetData>
  <mergeCells count="1">
    <mergeCell ref="B1:M1"/>
  </mergeCells>
  <phoneticPr fontId="5" type="noConversion"/>
  <pageMargins left="0.7" right="0.7" top="0.75" bottom="0.75" header="0.3" footer="0.3"/>
  <pageSetup orientation="landscape" horizontalDpi="4294967292" verticalDpi="1200" r:id="rId1"/>
  <ignoredErrors>
    <ignoredError sqref="Q5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E040-BF7C-4F35-9ADA-5E12DB4B5A16}">
  <sheetPr>
    <tabColor rgb="FF92D050"/>
  </sheetPr>
  <dimension ref="A1:T84"/>
  <sheetViews>
    <sheetView workbookViewId="0">
      <selection activeCell="A6" sqref="A6"/>
    </sheetView>
  </sheetViews>
  <sheetFormatPr defaultRowHeight="14.4" x14ac:dyDescent="0.3"/>
  <cols>
    <col min="1" max="1" width="33" customWidth="1"/>
    <col min="2" max="13" width="12.6640625" customWidth="1"/>
    <col min="14" max="14" width="14.33203125" bestFit="1" customWidth="1"/>
    <col min="16" max="16" width="18.6640625" customWidth="1"/>
    <col min="17" max="17" width="18.5546875" customWidth="1"/>
    <col min="18" max="18" width="11.5546875" bestFit="1" customWidth="1"/>
    <col min="19" max="19" width="13.33203125" bestFit="1" customWidth="1"/>
    <col min="20" max="20" width="12.109375" bestFit="1" customWidth="1"/>
    <col min="21" max="21" width="11.5546875" bestFit="1" customWidth="1"/>
  </cols>
  <sheetData>
    <row r="1" spans="1:20" ht="20.100000000000001" customHeight="1" thickBot="1" x14ac:dyDescent="0.35">
      <c r="A1" s="4"/>
      <c r="B1" s="94" t="s">
        <v>32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P1" s="20" t="s">
        <v>31</v>
      </c>
      <c r="Q1" s="21"/>
      <c r="R1" s="21"/>
      <c r="S1" s="21"/>
      <c r="T1" s="22"/>
    </row>
    <row r="2" spans="1:20" ht="12" customHeight="1" x14ac:dyDescent="0.3">
      <c r="A2" s="4"/>
      <c r="B2" s="39">
        <v>45108</v>
      </c>
      <c r="C2" s="39">
        <v>45139</v>
      </c>
      <c r="D2" s="39">
        <v>45190</v>
      </c>
      <c r="E2" s="39">
        <v>45220</v>
      </c>
      <c r="F2" s="39">
        <v>45251</v>
      </c>
      <c r="G2" s="39">
        <v>45281</v>
      </c>
      <c r="H2" s="39">
        <v>45312</v>
      </c>
      <c r="I2" s="39">
        <v>45343</v>
      </c>
      <c r="J2" s="39">
        <v>45372</v>
      </c>
      <c r="K2" s="39">
        <v>45403</v>
      </c>
      <c r="L2" s="39">
        <v>45433</v>
      </c>
      <c r="M2" s="39">
        <v>45464</v>
      </c>
      <c r="P2" s="12"/>
      <c r="Q2" s="12"/>
      <c r="R2" s="12"/>
      <c r="S2" s="12"/>
      <c r="T2" s="1"/>
    </row>
    <row r="3" spans="1:20" x14ac:dyDescent="0.3">
      <c r="A3" s="13" t="s">
        <v>0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 t="s">
        <v>8</v>
      </c>
      <c r="P3" s="4" t="s">
        <v>30</v>
      </c>
    </row>
    <row r="4" spans="1:20" x14ac:dyDescent="0.3">
      <c r="A4" s="12" t="s">
        <v>53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71"/>
      <c r="P4" s="5" t="s">
        <v>21</v>
      </c>
      <c r="Q4" s="5" t="s">
        <v>22</v>
      </c>
      <c r="R4" s="5" t="s">
        <v>35</v>
      </c>
      <c r="S4" s="53" t="s">
        <v>50</v>
      </c>
    </row>
    <row r="5" spans="1:20" x14ac:dyDescent="0.3">
      <c r="A5" s="2" t="s">
        <v>1</v>
      </c>
      <c r="B5" s="3">
        <f>SUM('FE Sales YR 1'!M5)</f>
        <v>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17">
        <f>SUM(M5)</f>
        <v>1</v>
      </c>
      <c r="O5" s="72"/>
      <c r="P5" s="89" t="s">
        <v>1</v>
      </c>
      <c r="Q5" s="9">
        <v>0</v>
      </c>
      <c r="R5" s="42">
        <v>2.5000000000000001E-2</v>
      </c>
      <c r="S5" s="54">
        <v>2.5000000000000001E-2</v>
      </c>
    </row>
    <row r="6" spans="1:20" x14ac:dyDescent="0.3">
      <c r="A6" s="2" t="s">
        <v>93</v>
      </c>
      <c r="B6" s="3">
        <f>SUM('FE Sales YR 1'!M6)</f>
        <v>3</v>
      </c>
      <c r="C6" s="3">
        <v>3</v>
      </c>
      <c r="D6" s="3">
        <v>3</v>
      </c>
      <c r="E6" s="3">
        <v>3</v>
      </c>
      <c r="F6" s="3">
        <v>3</v>
      </c>
      <c r="G6" s="23">
        <v>3</v>
      </c>
      <c r="H6" s="92">
        <v>6</v>
      </c>
      <c r="I6" s="3">
        <v>6</v>
      </c>
      <c r="J6" s="3">
        <v>6</v>
      </c>
      <c r="K6" s="3">
        <v>6</v>
      </c>
      <c r="L6" s="3">
        <v>6</v>
      </c>
      <c r="M6" s="3">
        <v>6</v>
      </c>
      <c r="N6" s="17">
        <f t="shared" ref="N6:N9" si="0">SUM(M6)</f>
        <v>6</v>
      </c>
      <c r="O6" s="72"/>
      <c r="P6" s="91" t="s">
        <v>2</v>
      </c>
      <c r="Q6" s="9">
        <v>2500</v>
      </c>
      <c r="R6" s="42">
        <v>1.2500000000000001E-2</v>
      </c>
      <c r="S6" s="55">
        <v>1.2500000000000001E-2</v>
      </c>
    </row>
    <row r="7" spans="1:20" x14ac:dyDescent="0.3">
      <c r="A7" s="2" t="s">
        <v>94</v>
      </c>
      <c r="B7" s="3">
        <f>SUM('FE Sales YR 1'!M7)</f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88">
        <v>2</v>
      </c>
      <c r="I7" s="3">
        <v>2</v>
      </c>
      <c r="J7" s="3">
        <v>2</v>
      </c>
      <c r="K7" s="3">
        <v>2</v>
      </c>
      <c r="L7" s="3">
        <v>2</v>
      </c>
      <c r="M7" s="3">
        <v>2</v>
      </c>
      <c r="N7" s="17">
        <f t="shared" si="0"/>
        <v>2</v>
      </c>
      <c r="O7" s="72"/>
      <c r="P7" s="87" t="s">
        <v>4</v>
      </c>
      <c r="Q7" s="9">
        <v>0</v>
      </c>
      <c r="R7" s="42">
        <v>0.01</v>
      </c>
      <c r="S7" s="54">
        <v>0.01</v>
      </c>
    </row>
    <row r="8" spans="1:20" x14ac:dyDescent="0.3">
      <c r="A8" s="2" t="s">
        <v>95</v>
      </c>
      <c r="B8" s="3">
        <f>SUM('FE Sales YR 1'!M8)</f>
        <v>6</v>
      </c>
      <c r="C8" s="3">
        <v>6</v>
      </c>
      <c r="D8" s="3">
        <v>6</v>
      </c>
      <c r="E8" s="3">
        <v>6</v>
      </c>
      <c r="F8" s="3">
        <v>6</v>
      </c>
      <c r="G8" s="3">
        <v>6</v>
      </c>
      <c r="H8" s="86">
        <v>12</v>
      </c>
      <c r="I8" s="23">
        <v>12</v>
      </c>
      <c r="J8" s="23">
        <v>12</v>
      </c>
      <c r="K8" s="23">
        <v>12</v>
      </c>
      <c r="L8" s="23">
        <v>12</v>
      </c>
      <c r="M8" s="23">
        <v>12</v>
      </c>
      <c r="N8" s="17">
        <f t="shared" si="0"/>
        <v>12</v>
      </c>
      <c r="O8" s="72"/>
      <c r="P8" s="85" t="s">
        <v>3</v>
      </c>
      <c r="Q8" s="9">
        <v>2500</v>
      </c>
      <c r="R8" s="42">
        <v>0.04</v>
      </c>
      <c r="S8" s="54">
        <v>0.5</v>
      </c>
    </row>
    <row r="9" spans="1:20" x14ac:dyDescent="0.3">
      <c r="A9" s="2" t="s">
        <v>5</v>
      </c>
      <c r="B9" s="3">
        <f>SUM('FE Sales YR 1'!M9)</f>
        <v>0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83">
        <v>2</v>
      </c>
      <c r="I9" s="3">
        <v>2</v>
      </c>
      <c r="J9" s="3">
        <v>2</v>
      </c>
      <c r="K9" s="3">
        <v>2</v>
      </c>
      <c r="L9" s="3">
        <v>2</v>
      </c>
      <c r="M9" s="3">
        <v>2</v>
      </c>
      <c r="N9" s="17">
        <f t="shared" si="0"/>
        <v>2</v>
      </c>
      <c r="O9" s="72"/>
      <c r="P9" s="84" t="s">
        <v>5</v>
      </c>
      <c r="Q9" s="9">
        <v>0</v>
      </c>
      <c r="R9" s="42">
        <v>1.7500000000000002E-2</v>
      </c>
      <c r="S9" s="54">
        <v>0.05</v>
      </c>
    </row>
    <row r="10" spans="1:20" x14ac:dyDescent="0.3">
      <c r="A10" s="6" t="s">
        <v>8</v>
      </c>
      <c r="B10" s="8">
        <f t="shared" ref="B10:N10" si="1">SUM(B5:B9)</f>
        <v>10</v>
      </c>
      <c r="C10" s="8">
        <f t="shared" si="1"/>
        <v>12</v>
      </c>
      <c r="D10" s="8">
        <f t="shared" si="1"/>
        <v>12</v>
      </c>
      <c r="E10" s="8">
        <f t="shared" si="1"/>
        <v>12</v>
      </c>
      <c r="F10" s="8">
        <f t="shared" si="1"/>
        <v>12</v>
      </c>
      <c r="G10" s="8">
        <f t="shared" si="1"/>
        <v>12</v>
      </c>
      <c r="H10" s="8">
        <f t="shared" si="1"/>
        <v>23</v>
      </c>
      <c r="I10" s="8">
        <f t="shared" si="1"/>
        <v>23</v>
      </c>
      <c r="J10" s="8">
        <f t="shared" si="1"/>
        <v>23</v>
      </c>
      <c r="K10" s="8">
        <f t="shared" si="1"/>
        <v>23</v>
      </c>
      <c r="L10" s="8">
        <f t="shared" si="1"/>
        <v>23</v>
      </c>
      <c r="M10" s="8">
        <f t="shared" si="1"/>
        <v>23</v>
      </c>
      <c r="N10" s="17">
        <f t="shared" si="1"/>
        <v>23</v>
      </c>
      <c r="R10" s="26">
        <f>SUM(R5:R9)</f>
        <v>0.10500000000000001</v>
      </c>
      <c r="S10" s="26">
        <f>SUM(S5:S9)</f>
        <v>0.59750000000000003</v>
      </c>
    </row>
    <row r="12" spans="1:20" x14ac:dyDescent="0.3">
      <c r="A12" s="12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4" t="s">
        <v>25</v>
      </c>
    </row>
    <row r="13" spans="1:20" x14ac:dyDescent="0.3">
      <c r="A13" s="2" t="s">
        <v>34</v>
      </c>
      <c r="B13" s="14">
        <f t="shared" ref="B13:M13" si="2">B8*$Q$13*$Q$14</f>
        <v>29850</v>
      </c>
      <c r="C13" s="14">
        <f>C8*$Q$13*$Q$14</f>
        <v>29850</v>
      </c>
      <c r="D13" s="14">
        <f t="shared" si="2"/>
        <v>29850</v>
      </c>
      <c r="E13" s="14">
        <f t="shared" si="2"/>
        <v>29850</v>
      </c>
      <c r="F13" s="14">
        <f t="shared" si="2"/>
        <v>29850</v>
      </c>
      <c r="G13" s="14">
        <f t="shared" si="2"/>
        <v>29850</v>
      </c>
      <c r="H13" s="14">
        <f>H8*$Q$13*$Q$14*65%</f>
        <v>38805</v>
      </c>
      <c r="I13" s="14">
        <f>I8*$Q$13*$Q$14*85%</f>
        <v>50745</v>
      </c>
      <c r="J13" s="14">
        <f t="shared" si="2"/>
        <v>59700</v>
      </c>
      <c r="K13" s="14">
        <f t="shared" si="2"/>
        <v>59700</v>
      </c>
      <c r="L13" s="14">
        <f t="shared" si="2"/>
        <v>59700</v>
      </c>
      <c r="M13" s="14">
        <f t="shared" si="2"/>
        <v>59700</v>
      </c>
      <c r="N13" s="18">
        <f>SUM(B13:M13)</f>
        <v>507450</v>
      </c>
      <c r="P13" s="3" t="s">
        <v>23</v>
      </c>
      <c r="Q13" s="9">
        <v>5</v>
      </c>
    </row>
    <row r="14" spans="1:20" x14ac:dyDescent="0.3">
      <c r="A14" s="2" t="s">
        <v>7</v>
      </c>
      <c r="B14" s="14">
        <f t="shared" ref="B14:G14" si="3">B8*$Q$13*$Q$15*$Q$16*$Q$17</f>
        <v>708000</v>
      </c>
      <c r="C14" s="14">
        <f t="shared" si="3"/>
        <v>708000</v>
      </c>
      <c r="D14" s="14">
        <f t="shared" si="3"/>
        <v>708000</v>
      </c>
      <c r="E14" s="14">
        <f t="shared" si="3"/>
        <v>708000</v>
      </c>
      <c r="F14" s="14">
        <f t="shared" si="3"/>
        <v>708000</v>
      </c>
      <c r="G14" s="14">
        <f t="shared" si="3"/>
        <v>708000</v>
      </c>
      <c r="H14" s="14">
        <f>H8*$Q$13*$Q$15*$Q$16*$Q$17*65%</f>
        <v>920400</v>
      </c>
      <c r="I14" s="14">
        <f>I8*$Q$13*$Q$15*$Q$16*$Q$17*85%</f>
        <v>1203600</v>
      </c>
      <c r="J14" s="14">
        <f>J8*$Q$13*$Q$15*$Q$16*$Q$17</f>
        <v>1416000</v>
      </c>
      <c r="K14" s="14">
        <f>K8*$Q$13*$Q$15*$Q$16*$Q$17</f>
        <v>1416000</v>
      </c>
      <c r="L14" s="14">
        <f>L8*$Q$13*$Q$15*$Q$16*$Q$17</f>
        <v>1416000</v>
      </c>
      <c r="M14" s="14">
        <f>M8*$Q$13*$Q$15*$Q$16*$Q$17</f>
        <v>1416000</v>
      </c>
      <c r="N14" s="18">
        <f>SUM(B14:M14)</f>
        <v>12036000</v>
      </c>
      <c r="P14" s="3" t="s">
        <v>28</v>
      </c>
      <c r="Q14" s="9">
        <v>995</v>
      </c>
    </row>
    <row r="15" spans="1:20" x14ac:dyDescent="0.3">
      <c r="A15" s="6" t="s">
        <v>8</v>
      </c>
      <c r="B15" s="15">
        <f t="shared" ref="B15:M15" si="4">SUM(B13:B14)</f>
        <v>737850</v>
      </c>
      <c r="C15" s="15">
        <f t="shared" si="4"/>
        <v>737850</v>
      </c>
      <c r="D15" s="15">
        <f t="shared" si="4"/>
        <v>737850</v>
      </c>
      <c r="E15" s="15">
        <f t="shared" si="4"/>
        <v>737850</v>
      </c>
      <c r="F15" s="15">
        <f t="shared" si="4"/>
        <v>737850</v>
      </c>
      <c r="G15" s="15">
        <f t="shared" si="4"/>
        <v>737850</v>
      </c>
      <c r="H15" s="15">
        <f t="shared" si="4"/>
        <v>959205</v>
      </c>
      <c r="I15" s="15">
        <f t="shared" si="4"/>
        <v>1254345</v>
      </c>
      <c r="J15" s="15">
        <f t="shared" si="4"/>
        <v>1475700</v>
      </c>
      <c r="K15" s="15">
        <f t="shared" si="4"/>
        <v>1475700</v>
      </c>
      <c r="L15" s="15">
        <f t="shared" si="4"/>
        <v>1475700</v>
      </c>
      <c r="M15" s="15">
        <f t="shared" si="4"/>
        <v>1475700</v>
      </c>
      <c r="N15" s="18">
        <f>SUM(B15:M15)</f>
        <v>12543450</v>
      </c>
      <c r="P15" s="3" t="s">
        <v>24</v>
      </c>
      <c r="Q15" s="16">
        <v>0.5</v>
      </c>
    </row>
    <row r="16" spans="1:20" x14ac:dyDescent="0.3">
      <c r="P16" s="3" t="s">
        <v>26</v>
      </c>
      <c r="Q16" s="9">
        <v>160</v>
      </c>
    </row>
    <row r="17" spans="1:18" x14ac:dyDescent="0.3">
      <c r="A17" s="10" t="s">
        <v>9</v>
      </c>
      <c r="P17" s="3" t="s">
        <v>27</v>
      </c>
      <c r="Q17" s="9">
        <v>295</v>
      </c>
    </row>
    <row r="18" spans="1:18" x14ac:dyDescent="0.3">
      <c r="A18" s="2" t="s">
        <v>10</v>
      </c>
      <c r="B18" s="14">
        <f t="shared" ref="B18:M18" si="5">B5*$Q$5+B6*$Q$6+C7*$Q$7+B8*$Q$8+B9*$Q$9+B13*S5+B13*S6+B13*S7+B13*S8+B13*S9</f>
        <v>40335.375</v>
      </c>
      <c r="C18" s="14">
        <f t="shared" si="5"/>
        <v>22500</v>
      </c>
      <c r="D18" s="14">
        <f t="shared" si="5"/>
        <v>22500</v>
      </c>
      <c r="E18" s="14">
        <f t="shared" si="5"/>
        <v>22500</v>
      </c>
      <c r="F18" s="14">
        <f t="shared" si="5"/>
        <v>22500</v>
      </c>
      <c r="G18" s="14">
        <f t="shared" si="5"/>
        <v>22500</v>
      </c>
      <c r="H18" s="14">
        <f t="shared" si="5"/>
        <v>45000</v>
      </c>
      <c r="I18" s="14">
        <f t="shared" si="5"/>
        <v>45000</v>
      </c>
      <c r="J18" s="14">
        <f t="shared" si="5"/>
        <v>45000</v>
      </c>
      <c r="K18" s="14">
        <f t="shared" si="5"/>
        <v>45000</v>
      </c>
      <c r="L18" s="14">
        <f t="shared" si="5"/>
        <v>45000</v>
      </c>
      <c r="M18" s="14">
        <f t="shared" si="5"/>
        <v>45000</v>
      </c>
      <c r="N18" s="18">
        <f>SUM(B18:M18)</f>
        <v>422835.375</v>
      </c>
      <c r="P18" s="19" t="s">
        <v>36</v>
      </c>
      <c r="Q18" s="23">
        <f>IF(Q13&gt;5,(Q13-4)*300,0)</f>
        <v>0</v>
      </c>
    </row>
    <row r="19" spans="1:18" x14ac:dyDescent="0.3">
      <c r="A19" s="2" t="s">
        <v>38</v>
      </c>
      <c r="B19" s="14">
        <f t="shared" ref="B19:M19" si="6">IF(B5&gt;0,$R$5*B$14,0)</f>
        <v>0</v>
      </c>
      <c r="C19" s="14">
        <f t="shared" si="6"/>
        <v>17700</v>
      </c>
      <c r="D19" s="14">
        <f t="shared" si="6"/>
        <v>17700</v>
      </c>
      <c r="E19" s="14">
        <f t="shared" si="6"/>
        <v>17700</v>
      </c>
      <c r="F19" s="14">
        <f t="shared" si="6"/>
        <v>17700</v>
      </c>
      <c r="G19" s="14">
        <f t="shared" si="6"/>
        <v>17700</v>
      </c>
      <c r="H19" s="14">
        <f t="shared" si="6"/>
        <v>23010</v>
      </c>
      <c r="I19" s="14">
        <f t="shared" si="6"/>
        <v>30090</v>
      </c>
      <c r="J19" s="14">
        <f t="shared" si="6"/>
        <v>35400</v>
      </c>
      <c r="K19" s="14">
        <f t="shared" si="6"/>
        <v>35400</v>
      </c>
      <c r="L19" s="14">
        <f t="shared" si="6"/>
        <v>35400</v>
      </c>
      <c r="M19" s="14">
        <f t="shared" si="6"/>
        <v>35400</v>
      </c>
      <c r="N19" s="18">
        <f t="shared" ref="N19:N33" si="7">SUM(B19:M19)</f>
        <v>283200</v>
      </c>
      <c r="P19" s="19" t="s">
        <v>37</v>
      </c>
      <c r="Q19" s="23">
        <f>IF($Q$14&gt;995,($Q$14-995)*0.5*$Q$13,0)</f>
        <v>0</v>
      </c>
    </row>
    <row r="20" spans="1:18" x14ac:dyDescent="0.3">
      <c r="A20" s="2" t="s">
        <v>39</v>
      </c>
      <c r="B20" s="14">
        <f t="shared" ref="B20:M20" si="8">IF(B8&gt;0,B8*$Q$18+B8*$Q$19,0)</f>
        <v>0</v>
      </c>
      <c r="C20" s="14">
        <f t="shared" si="8"/>
        <v>0</v>
      </c>
      <c r="D20" s="14">
        <f t="shared" si="8"/>
        <v>0</v>
      </c>
      <c r="E20" s="14">
        <f t="shared" si="8"/>
        <v>0</v>
      </c>
      <c r="F20" s="14">
        <f t="shared" si="8"/>
        <v>0</v>
      </c>
      <c r="G20" s="14">
        <f t="shared" si="8"/>
        <v>0</v>
      </c>
      <c r="H20" s="14">
        <f t="shared" si="8"/>
        <v>0</v>
      </c>
      <c r="I20" s="14">
        <f t="shared" si="8"/>
        <v>0</v>
      </c>
      <c r="J20" s="14">
        <f t="shared" si="8"/>
        <v>0</v>
      </c>
      <c r="K20" s="14">
        <f t="shared" si="8"/>
        <v>0</v>
      </c>
      <c r="L20" s="14">
        <f t="shared" si="8"/>
        <v>0</v>
      </c>
      <c r="M20" s="14">
        <f t="shared" si="8"/>
        <v>0</v>
      </c>
      <c r="N20" s="18">
        <f t="shared" si="7"/>
        <v>0</v>
      </c>
      <c r="P20" s="24"/>
      <c r="Q20" s="24"/>
      <c r="R20" s="25"/>
    </row>
    <row r="21" spans="1:18" x14ac:dyDescent="0.3">
      <c r="A21" s="2" t="s">
        <v>47</v>
      </c>
      <c r="B21" s="14">
        <f t="shared" ref="B21:M21" si="9">SUM(B13)*$S10</f>
        <v>17835.375</v>
      </c>
      <c r="C21" s="14">
        <f t="shared" si="9"/>
        <v>17835.375</v>
      </c>
      <c r="D21" s="14">
        <f t="shared" si="9"/>
        <v>17835.375</v>
      </c>
      <c r="E21" s="14">
        <f t="shared" si="9"/>
        <v>17835.375</v>
      </c>
      <c r="F21" s="14">
        <f t="shared" si="9"/>
        <v>17835.375</v>
      </c>
      <c r="G21" s="14">
        <f t="shared" si="9"/>
        <v>17835.375</v>
      </c>
      <c r="H21" s="14">
        <f t="shared" si="9"/>
        <v>23185.987500000003</v>
      </c>
      <c r="I21" s="14">
        <f t="shared" si="9"/>
        <v>30320.137500000001</v>
      </c>
      <c r="J21" s="14">
        <f t="shared" si="9"/>
        <v>35670.75</v>
      </c>
      <c r="K21" s="14">
        <f t="shared" si="9"/>
        <v>35670.75</v>
      </c>
      <c r="L21" s="14">
        <f t="shared" si="9"/>
        <v>35670.75</v>
      </c>
      <c r="M21" s="14">
        <f t="shared" si="9"/>
        <v>35670.75</v>
      </c>
      <c r="N21" s="18">
        <f>SUM(B21:M21)</f>
        <v>303201.375</v>
      </c>
    </row>
    <row r="22" spans="1:18" x14ac:dyDescent="0.3">
      <c r="A22" s="2" t="s">
        <v>29</v>
      </c>
      <c r="B22" s="14">
        <f>(B18+B19+B20)*0.0765</f>
        <v>3085.6561874999998</v>
      </c>
      <c r="C22" s="14">
        <f t="shared" ref="C22:M22" si="10">(C18+C19+C20)*0.0765</f>
        <v>3075.2999999999997</v>
      </c>
      <c r="D22" s="14">
        <f t="shared" si="10"/>
        <v>3075.2999999999997</v>
      </c>
      <c r="E22" s="14">
        <f t="shared" si="10"/>
        <v>3075.2999999999997</v>
      </c>
      <c r="F22" s="14">
        <f t="shared" si="10"/>
        <v>3075.2999999999997</v>
      </c>
      <c r="G22" s="14">
        <f t="shared" si="10"/>
        <v>3075.2999999999997</v>
      </c>
      <c r="H22" s="14">
        <f t="shared" si="10"/>
        <v>5202.7650000000003</v>
      </c>
      <c r="I22" s="14">
        <f t="shared" si="10"/>
        <v>5744.3850000000002</v>
      </c>
      <c r="J22" s="14">
        <f t="shared" si="10"/>
        <v>6150.5999999999995</v>
      </c>
      <c r="K22" s="14">
        <f t="shared" si="10"/>
        <v>6150.5999999999995</v>
      </c>
      <c r="L22" s="14">
        <f t="shared" si="10"/>
        <v>6150.5999999999995</v>
      </c>
      <c r="M22" s="14">
        <f t="shared" si="10"/>
        <v>6150.5999999999995</v>
      </c>
      <c r="N22" s="18">
        <f t="shared" si="7"/>
        <v>54011.706187499993</v>
      </c>
    </row>
    <row r="23" spans="1:18" x14ac:dyDescent="0.3">
      <c r="A23" s="2" t="s">
        <v>63</v>
      </c>
      <c r="B23" s="14">
        <f t="shared" ref="B23:M23" si="11">SUM(B10)*700</f>
        <v>7000</v>
      </c>
      <c r="C23" s="14">
        <f t="shared" si="11"/>
        <v>8400</v>
      </c>
      <c r="D23" s="14">
        <f t="shared" si="11"/>
        <v>8400</v>
      </c>
      <c r="E23" s="14">
        <f t="shared" si="11"/>
        <v>8400</v>
      </c>
      <c r="F23" s="14">
        <f t="shared" si="11"/>
        <v>8400</v>
      </c>
      <c r="G23" s="14">
        <f t="shared" si="11"/>
        <v>8400</v>
      </c>
      <c r="H23" s="14">
        <f t="shared" si="11"/>
        <v>16100</v>
      </c>
      <c r="I23" s="14">
        <f t="shared" si="11"/>
        <v>16100</v>
      </c>
      <c r="J23" s="14">
        <f t="shared" si="11"/>
        <v>16100</v>
      </c>
      <c r="K23" s="14">
        <f t="shared" si="11"/>
        <v>16100</v>
      </c>
      <c r="L23" s="14">
        <f t="shared" si="11"/>
        <v>16100</v>
      </c>
      <c r="M23" s="14">
        <f t="shared" si="11"/>
        <v>16100</v>
      </c>
      <c r="N23" s="61">
        <f>SUM(B23:M23)</f>
        <v>145600</v>
      </c>
    </row>
    <row r="24" spans="1:18" x14ac:dyDescent="0.3">
      <c r="A24" s="2" t="s">
        <v>64</v>
      </c>
      <c r="B24" s="14">
        <f>SUM(B18:B21)*3%</f>
        <v>1745.1224999999999</v>
      </c>
      <c r="C24" s="14">
        <f t="shared" ref="C24:F24" si="12">SUM(C18:C21)*3%</f>
        <v>1741.06125</v>
      </c>
      <c r="D24" s="14">
        <f t="shared" si="12"/>
        <v>1741.06125</v>
      </c>
      <c r="E24" s="14">
        <f t="shared" si="12"/>
        <v>1741.06125</v>
      </c>
      <c r="F24" s="14">
        <f t="shared" si="12"/>
        <v>1741.06125</v>
      </c>
      <c r="G24" s="14">
        <f t="shared" ref="G24:L24" si="13">SUM(G18:G21)*3%</f>
        <v>1741.06125</v>
      </c>
      <c r="H24" s="14">
        <f>SUM(H18:H21)*3%</f>
        <v>2735.879625</v>
      </c>
      <c r="I24" s="14">
        <f t="shared" si="13"/>
        <v>3162.3041249999997</v>
      </c>
      <c r="J24" s="14">
        <f t="shared" si="13"/>
        <v>3482.1224999999999</v>
      </c>
      <c r="K24" s="14">
        <f t="shared" si="13"/>
        <v>3482.1224999999999</v>
      </c>
      <c r="L24" s="14">
        <f t="shared" si="13"/>
        <v>3482.1224999999999</v>
      </c>
      <c r="M24" s="14">
        <f>SUM(M18:M21)*3%</f>
        <v>3482.1224999999999</v>
      </c>
      <c r="N24" s="61">
        <f>SUM(B24:M24)</f>
        <v>30277.102500000005</v>
      </c>
    </row>
    <row r="25" spans="1:18" x14ac:dyDescent="0.3">
      <c r="A25" s="2" t="s">
        <v>11</v>
      </c>
      <c r="B25" s="14">
        <v>800</v>
      </c>
      <c r="C25" s="14">
        <v>800</v>
      </c>
      <c r="D25" s="14">
        <f t="shared" ref="D25:M25" si="14">SUM(500*D8)</f>
        <v>3000</v>
      </c>
      <c r="E25" s="14">
        <f t="shared" si="14"/>
        <v>3000</v>
      </c>
      <c r="F25" s="14">
        <f t="shared" si="14"/>
        <v>3000</v>
      </c>
      <c r="G25" s="14">
        <f t="shared" si="14"/>
        <v>3000</v>
      </c>
      <c r="H25" s="14">
        <f t="shared" si="14"/>
        <v>6000</v>
      </c>
      <c r="I25" s="14">
        <f t="shared" si="14"/>
        <v>6000</v>
      </c>
      <c r="J25" s="14">
        <f t="shared" si="14"/>
        <v>6000</v>
      </c>
      <c r="K25" s="14">
        <f t="shared" si="14"/>
        <v>6000</v>
      </c>
      <c r="L25" s="14">
        <f t="shared" si="14"/>
        <v>6000</v>
      </c>
      <c r="M25" s="14">
        <f t="shared" si="14"/>
        <v>6000</v>
      </c>
      <c r="N25" s="18">
        <f t="shared" si="7"/>
        <v>49600</v>
      </c>
    </row>
    <row r="26" spans="1:18" x14ac:dyDescent="0.3">
      <c r="A26" s="2" t="s">
        <v>12</v>
      </c>
      <c r="B26" s="14">
        <f>39*B10+39</f>
        <v>429</v>
      </c>
      <c r="C26" s="14">
        <f t="shared" ref="C26:M26" si="15">39*C10</f>
        <v>468</v>
      </c>
      <c r="D26" s="14">
        <f t="shared" si="15"/>
        <v>468</v>
      </c>
      <c r="E26" s="14">
        <f t="shared" si="15"/>
        <v>468</v>
      </c>
      <c r="F26" s="14">
        <f t="shared" si="15"/>
        <v>468</v>
      </c>
      <c r="G26" s="14">
        <f t="shared" si="15"/>
        <v>468</v>
      </c>
      <c r="H26" s="14">
        <f t="shared" si="15"/>
        <v>897</v>
      </c>
      <c r="I26" s="14">
        <f t="shared" si="15"/>
        <v>897</v>
      </c>
      <c r="J26" s="14">
        <f t="shared" si="15"/>
        <v>897</v>
      </c>
      <c r="K26" s="14">
        <f t="shared" si="15"/>
        <v>897</v>
      </c>
      <c r="L26" s="14">
        <f t="shared" si="15"/>
        <v>897</v>
      </c>
      <c r="M26" s="14">
        <f t="shared" si="15"/>
        <v>897</v>
      </c>
      <c r="N26" s="18">
        <f t="shared" si="7"/>
        <v>8151</v>
      </c>
    </row>
    <row r="27" spans="1:18" x14ac:dyDescent="0.3">
      <c r="A27" s="2" t="s">
        <v>84</v>
      </c>
      <c r="B27" s="14">
        <f t="shared" ref="B27:M27" si="16">SUM(28*B6)+(52*B7)+52</f>
        <v>188</v>
      </c>
      <c r="C27" s="14">
        <f t="shared" si="16"/>
        <v>188</v>
      </c>
      <c r="D27" s="14">
        <f t="shared" si="16"/>
        <v>188</v>
      </c>
      <c r="E27" s="14">
        <f t="shared" si="16"/>
        <v>188</v>
      </c>
      <c r="F27" s="14">
        <f t="shared" si="16"/>
        <v>188</v>
      </c>
      <c r="G27" s="14">
        <f t="shared" si="16"/>
        <v>188</v>
      </c>
      <c r="H27" s="14">
        <f t="shared" si="16"/>
        <v>324</v>
      </c>
      <c r="I27" s="14">
        <f t="shared" si="16"/>
        <v>324</v>
      </c>
      <c r="J27" s="14">
        <f t="shared" si="16"/>
        <v>324</v>
      </c>
      <c r="K27" s="14">
        <f t="shared" si="16"/>
        <v>324</v>
      </c>
      <c r="L27" s="14">
        <f t="shared" si="16"/>
        <v>324</v>
      </c>
      <c r="M27" s="14">
        <f t="shared" si="16"/>
        <v>324</v>
      </c>
      <c r="N27" s="18">
        <f t="shared" si="7"/>
        <v>3072</v>
      </c>
      <c r="P27" s="27"/>
    </row>
    <row r="28" spans="1:18" x14ac:dyDescent="0.3">
      <c r="A28" s="2" t="s">
        <v>13</v>
      </c>
      <c r="B28" s="14">
        <v>850</v>
      </c>
      <c r="C28" s="14">
        <v>850</v>
      </c>
      <c r="D28" s="14">
        <v>850</v>
      </c>
      <c r="E28" s="14">
        <v>850</v>
      </c>
      <c r="F28" s="14">
        <v>850</v>
      </c>
      <c r="G28" s="14">
        <v>850</v>
      </c>
      <c r="H28" s="14">
        <v>850</v>
      </c>
      <c r="I28" s="14">
        <v>850</v>
      </c>
      <c r="J28" s="14">
        <v>850</v>
      </c>
      <c r="K28" s="14">
        <v>850</v>
      </c>
      <c r="L28" s="14">
        <v>850</v>
      </c>
      <c r="M28" s="14">
        <v>850</v>
      </c>
      <c r="N28" s="18">
        <f t="shared" si="7"/>
        <v>10200</v>
      </c>
      <c r="P28" s="27"/>
    </row>
    <row r="29" spans="1:18" x14ac:dyDescent="0.3">
      <c r="A29" s="2" t="s">
        <v>14</v>
      </c>
      <c r="B29" s="14">
        <f>SUM(B8*500)</f>
        <v>3000</v>
      </c>
      <c r="C29" s="14">
        <v>1800</v>
      </c>
      <c r="D29" s="14">
        <v>1800</v>
      </c>
      <c r="E29" s="14">
        <f t="shared" ref="E29:M29" si="17">SUM(E8*750)</f>
        <v>4500</v>
      </c>
      <c r="F29" s="14">
        <f t="shared" si="17"/>
        <v>4500</v>
      </c>
      <c r="G29" s="14">
        <f t="shared" si="17"/>
        <v>4500</v>
      </c>
      <c r="H29" s="14">
        <f t="shared" si="17"/>
        <v>9000</v>
      </c>
      <c r="I29" s="14">
        <f t="shared" si="17"/>
        <v>9000</v>
      </c>
      <c r="J29" s="14">
        <f t="shared" si="17"/>
        <v>9000</v>
      </c>
      <c r="K29" s="14">
        <f t="shared" si="17"/>
        <v>9000</v>
      </c>
      <c r="L29" s="14">
        <f t="shared" si="17"/>
        <v>9000</v>
      </c>
      <c r="M29" s="14">
        <f t="shared" si="17"/>
        <v>9000</v>
      </c>
      <c r="N29" s="18">
        <f t="shared" si="7"/>
        <v>74100</v>
      </c>
    </row>
    <row r="30" spans="1:18" x14ac:dyDescent="0.3">
      <c r="A30" s="2" t="s">
        <v>15</v>
      </c>
      <c r="B30" s="14">
        <f t="shared" ref="B30:M30" si="18">500*B8</f>
        <v>3000</v>
      </c>
      <c r="C30" s="14">
        <f t="shared" si="18"/>
        <v>3000</v>
      </c>
      <c r="D30" s="14">
        <f t="shared" si="18"/>
        <v>3000</v>
      </c>
      <c r="E30" s="14">
        <f t="shared" si="18"/>
        <v>3000</v>
      </c>
      <c r="F30" s="14">
        <f t="shared" si="18"/>
        <v>3000</v>
      </c>
      <c r="G30" s="14">
        <f t="shared" si="18"/>
        <v>3000</v>
      </c>
      <c r="H30" s="14">
        <f t="shared" si="18"/>
        <v>6000</v>
      </c>
      <c r="I30" s="14">
        <f t="shared" si="18"/>
        <v>6000</v>
      </c>
      <c r="J30" s="14">
        <f t="shared" si="18"/>
        <v>6000</v>
      </c>
      <c r="K30" s="14">
        <f t="shared" si="18"/>
        <v>6000</v>
      </c>
      <c r="L30" s="14">
        <f t="shared" si="18"/>
        <v>6000</v>
      </c>
      <c r="M30" s="14">
        <f t="shared" si="18"/>
        <v>6000</v>
      </c>
      <c r="N30" s="18">
        <f t="shared" si="7"/>
        <v>54000</v>
      </c>
    </row>
    <row r="31" spans="1:18" x14ac:dyDescent="0.3">
      <c r="A31" s="2" t="s">
        <v>16</v>
      </c>
      <c r="B31" s="14">
        <f t="shared" ref="B31:M31" si="19">600*B8</f>
        <v>3600</v>
      </c>
      <c r="C31" s="14">
        <f t="shared" si="19"/>
        <v>3600</v>
      </c>
      <c r="D31" s="14">
        <f t="shared" si="19"/>
        <v>3600</v>
      </c>
      <c r="E31" s="14">
        <f t="shared" si="19"/>
        <v>3600</v>
      </c>
      <c r="F31" s="14">
        <f t="shared" si="19"/>
        <v>3600</v>
      </c>
      <c r="G31" s="14">
        <f t="shared" si="19"/>
        <v>3600</v>
      </c>
      <c r="H31" s="14">
        <f t="shared" si="19"/>
        <v>7200</v>
      </c>
      <c r="I31" s="14">
        <f t="shared" si="19"/>
        <v>7200</v>
      </c>
      <c r="J31" s="14">
        <f t="shared" si="19"/>
        <v>7200</v>
      </c>
      <c r="K31" s="14">
        <f t="shared" si="19"/>
        <v>7200</v>
      </c>
      <c r="L31" s="14">
        <f t="shared" si="19"/>
        <v>7200</v>
      </c>
      <c r="M31" s="14">
        <f t="shared" si="19"/>
        <v>7200</v>
      </c>
      <c r="N31" s="18">
        <f t="shared" si="7"/>
        <v>64800</v>
      </c>
    </row>
    <row r="32" spans="1:18" x14ac:dyDescent="0.3">
      <c r="A32" s="2" t="s">
        <v>17</v>
      </c>
      <c r="B32" s="14">
        <f t="shared" ref="B32:M32" si="20">25*B8</f>
        <v>150</v>
      </c>
      <c r="C32" s="14">
        <f t="shared" si="20"/>
        <v>150</v>
      </c>
      <c r="D32" s="14">
        <f t="shared" si="20"/>
        <v>150</v>
      </c>
      <c r="E32" s="14">
        <f t="shared" si="20"/>
        <v>150</v>
      </c>
      <c r="F32" s="14">
        <f t="shared" si="20"/>
        <v>150</v>
      </c>
      <c r="G32" s="14">
        <f t="shared" si="20"/>
        <v>150</v>
      </c>
      <c r="H32" s="14">
        <f t="shared" si="20"/>
        <v>300</v>
      </c>
      <c r="I32" s="14">
        <f t="shared" si="20"/>
        <v>300</v>
      </c>
      <c r="J32" s="14">
        <f t="shared" si="20"/>
        <v>300</v>
      </c>
      <c r="K32" s="14">
        <f t="shared" si="20"/>
        <v>300</v>
      </c>
      <c r="L32" s="14">
        <f t="shared" si="20"/>
        <v>300</v>
      </c>
      <c r="M32" s="14">
        <f t="shared" si="20"/>
        <v>300</v>
      </c>
      <c r="N32" s="18">
        <f t="shared" si="7"/>
        <v>2700</v>
      </c>
    </row>
    <row r="33" spans="1:15" x14ac:dyDescent="0.3">
      <c r="A33" s="2" t="s">
        <v>40</v>
      </c>
      <c r="B33" s="14">
        <f t="shared" ref="B33:M33" si="21">1800*B8</f>
        <v>10800</v>
      </c>
      <c r="C33" s="14">
        <f t="shared" si="21"/>
        <v>10800</v>
      </c>
      <c r="D33" s="14">
        <f t="shared" si="21"/>
        <v>10800</v>
      </c>
      <c r="E33" s="14">
        <f t="shared" si="21"/>
        <v>10800</v>
      </c>
      <c r="F33" s="14">
        <f t="shared" si="21"/>
        <v>10800</v>
      </c>
      <c r="G33" s="14">
        <f t="shared" si="21"/>
        <v>10800</v>
      </c>
      <c r="H33" s="14">
        <f t="shared" si="21"/>
        <v>21600</v>
      </c>
      <c r="I33" s="14">
        <f t="shared" si="21"/>
        <v>21600</v>
      </c>
      <c r="J33" s="14">
        <f t="shared" si="21"/>
        <v>21600</v>
      </c>
      <c r="K33" s="14">
        <f t="shared" si="21"/>
        <v>21600</v>
      </c>
      <c r="L33" s="14">
        <f t="shared" si="21"/>
        <v>21600</v>
      </c>
      <c r="M33" s="14">
        <f t="shared" si="21"/>
        <v>21600</v>
      </c>
      <c r="N33" s="18">
        <f t="shared" si="7"/>
        <v>194400</v>
      </c>
    </row>
    <row r="34" spans="1:15" x14ac:dyDescent="0.3">
      <c r="A34" s="2" t="s">
        <v>54</v>
      </c>
      <c r="B34" s="14">
        <f t="shared" ref="B34:M34" si="22">SUM(B13*4%)</f>
        <v>1194</v>
      </c>
      <c r="C34" s="14">
        <f t="shared" si="22"/>
        <v>1194</v>
      </c>
      <c r="D34" s="14">
        <f t="shared" si="22"/>
        <v>1194</v>
      </c>
      <c r="E34" s="14">
        <f t="shared" si="22"/>
        <v>1194</v>
      </c>
      <c r="F34" s="14">
        <f t="shared" si="22"/>
        <v>1194</v>
      </c>
      <c r="G34" s="14">
        <f t="shared" si="22"/>
        <v>1194</v>
      </c>
      <c r="H34" s="14">
        <f t="shared" si="22"/>
        <v>1552.2</v>
      </c>
      <c r="I34" s="14">
        <f t="shared" si="22"/>
        <v>2029.8</v>
      </c>
      <c r="J34" s="14">
        <f t="shared" si="22"/>
        <v>2388</v>
      </c>
      <c r="K34" s="14">
        <f t="shared" si="22"/>
        <v>2388</v>
      </c>
      <c r="L34" s="14">
        <f t="shared" si="22"/>
        <v>2388</v>
      </c>
      <c r="M34" s="14">
        <f t="shared" si="22"/>
        <v>2388</v>
      </c>
      <c r="N34" s="18">
        <f>SUM(B34:M34)</f>
        <v>20298</v>
      </c>
    </row>
    <row r="35" spans="1:15" ht="15" customHeight="1" x14ac:dyDescent="0.3">
      <c r="A35" s="82" t="s">
        <v>81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8"/>
    </row>
    <row r="36" spans="1:15" ht="16.5" customHeight="1" x14ac:dyDescent="0.3">
      <c r="A36" s="3" t="s">
        <v>82</v>
      </c>
      <c r="B36" s="14">
        <v>500</v>
      </c>
      <c r="C36" s="14">
        <f>SUM(C8)*50</f>
        <v>300</v>
      </c>
      <c r="D36" s="14">
        <f t="shared" ref="D36:M36" si="23">SUM(D8)*50</f>
        <v>300</v>
      </c>
      <c r="E36" s="14">
        <f t="shared" si="23"/>
        <v>300</v>
      </c>
      <c r="F36" s="14">
        <f t="shared" si="23"/>
        <v>300</v>
      </c>
      <c r="G36" s="14">
        <f t="shared" si="23"/>
        <v>300</v>
      </c>
      <c r="H36" s="14">
        <f t="shared" si="23"/>
        <v>600</v>
      </c>
      <c r="I36" s="14">
        <f t="shared" si="23"/>
        <v>600</v>
      </c>
      <c r="J36" s="14">
        <f t="shared" si="23"/>
        <v>600</v>
      </c>
      <c r="K36" s="14">
        <f t="shared" si="23"/>
        <v>600</v>
      </c>
      <c r="L36" s="14">
        <f t="shared" si="23"/>
        <v>600</v>
      </c>
      <c r="M36" s="14">
        <f t="shared" si="23"/>
        <v>600</v>
      </c>
      <c r="N36" s="15">
        <f t="shared" ref="N36:N37" si="24">SUM(B36:M36)</f>
        <v>5600</v>
      </c>
    </row>
    <row r="37" spans="1:15" x14ac:dyDescent="0.3">
      <c r="A37" s="3" t="s">
        <v>83</v>
      </c>
      <c r="B37" s="14"/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750</v>
      </c>
      <c r="I37" s="14">
        <v>0</v>
      </c>
      <c r="J37" s="14">
        <v>0</v>
      </c>
      <c r="K37" s="14">
        <v>0</v>
      </c>
      <c r="L37" s="14"/>
      <c r="M37" s="14"/>
      <c r="N37" s="15">
        <f t="shared" si="24"/>
        <v>750</v>
      </c>
    </row>
    <row r="38" spans="1:15" x14ac:dyDescent="0.3">
      <c r="A38" s="3" t="s">
        <v>85</v>
      </c>
      <c r="B38" s="14"/>
      <c r="C38" s="14">
        <f>SUM(C8*105)</f>
        <v>630</v>
      </c>
      <c r="D38" s="14">
        <v>0</v>
      </c>
      <c r="E38" s="14">
        <v>0</v>
      </c>
      <c r="F38" s="14">
        <v>0</v>
      </c>
      <c r="G38" s="14">
        <v>0</v>
      </c>
      <c r="H38" s="14">
        <f>SUM(H8*105)</f>
        <v>1260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5">
        <f t="shared" ref="N38:N40" si="25">SUM(B38:M38)</f>
        <v>1890</v>
      </c>
    </row>
    <row r="39" spans="1:15" x14ac:dyDescent="0.3">
      <c r="A39" s="3" t="s">
        <v>86</v>
      </c>
      <c r="B39" s="14">
        <f>SUM(B9*56)</f>
        <v>0</v>
      </c>
      <c r="C39" s="14"/>
      <c r="D39" s="14"/>
      <c r="E39" s="14"/>
      <c r="F39" s="14"/>
      <c r="G39" s="14"/>
      <c r="H39" s="14">
        <f>SUM(H9*105)</f>
        <v>210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5">
        <f t="shared" si="25"/>
        <v>210</v>
      </c>
    </row>
    <row r="40" spans="1:15" x14ac:dyDescent="0.3">
      <c r="A40" s="3" t="s">
        <v>87</v>
      </c>
      <c r="B40" s="14">
        <f>SUM(B5*105)</f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5">
        <f t="shared" si="25"/>
        <v>0</v>
      </c>
    </row>
    <row r="41" spans="1:15" x14ac:dyDescent="0.3">
      <c r="A41" s="6" t="s">
        <v>8</v>
      </c>
      <c r="B41" s="15">
        <f t="shared" ref="B41:M41" si="26">SUM(B18:B34)</f>
        <v>94012.528687499987</v>
      </c>
      <c r="C41" s="15">
        <f t="shared" si="26"/>
        <v>94101.736250000002</v>
      </c>
      <c r="D41" s="15">
        <f t="shared" si="26"/>
        <v>96301.736250000002</v>
      </c>
      <c r="E41" s="15">
        <f t="shared" si="26"/>
        <v>99001.736250000002</v>
      </c>
      <c r="F41" s="15">
        <f t="shared" si="26"/>
        <v>99001.736250000002</v>
      </c>
      <c r="G41" s="15">
        <f t="shared" si="26"/>
        <v>99001.736250000002</v>
      </c>
      <c r="H41" s="15">
        <f t="shared" si="26"/>
        <v>168957.83212500002</v>
      </c>
      <c r="I41" s="15">
        <f t="shared" si="26"/>
        <v>184617.62662499998</v>
      </c>
      <c r="J41" s="15">
        <f t="shared" si="26"/>
        <v>196362.4725</v>
      </c>
      <c r="K41" s="15">
        <f t="shared" si="26"/>
        <v>196362.4725</v>
      </c>
      <c r="L41" s="15">
        <f t="shared" si="26"/>
        <v>196362.4725</v>
      </c>
      <c r="M41" s="15">
        <f t="shared" si="26"/>
        <v>196362.4725</v>
      </c>
      <c r="N41" s="18">
        <f>SUM(B41:M41)</f>
        <v>1720446.5586874997</v>
      </c>
    </row>
    <row r="42" spans="1:15" x14ac:dyDescent="0.3">
      <c r="A42" s="65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</row>
    <row r="43" spans="1:15" x14ac:dyDescent="0.3">
      <c r="A43" s="11" t="s">
        <v>33</v>
      </c>
      <c r="B43" s="15">
        <f t="shared" ref="B43:N43" si="27">B15-B41</f>
        <v>643837.47131250007</v>
      </c>
      <c r="C43" s="15">
        <f t="shared" si="27"/>
        <v>643748.26375000004</v>
      </c>
      <c r="D43" s="15">
        <f t="shared" si="27"/>
        <v>641548.26375000004</v>
      </c>
      <c r="E43" s="15">
        <f t="shared" si="27"/>
        <v>638848.26375000004</v>
      </c>
      <c r="F43" s="15">
        <f t="shared" si="27"/>
        <v>638848.26375000004</v>
      </c>
      <c r="G43" s="15">
        <f t="shared" si="27"/>
        <v>638848.26375000004</v>
      </c>
      <c r="H43" s="15">
        <f t="shared" si="27"/>
        <v>790247.16787500004</v>
      </c>
      <c r="I43" s="15">
        <f t="shared" si="27"/>
        <v>1069727.373375</v>
      </c>
      <c r="J43" s="15">
        <f t="shared" si="27"/>
        <v>1279337.5275000001</v>
      </c>
      <c r="K43" s="15">
        <f t="shared" si="27"/>
        <v>1279337.5275000001</v>
      </c>
      <c r="L43" s="15">
        <f t="shared" si="27"/>
        <v>1279337.5275000001</v>
      </c>
      <c r="M43" s="15">
        <f t="shared" si="27"/>
        <v>1279337.5275000001</v>
      </c>
      <c r="N43" s="61">
        <f t="shared" si="27"/>
        <v>10823003.441312499</v>
      </c>
    </row>
    <row r="44" spans="1:15" x14ac:dyDescent="0.3">
      <c r="A44" s="1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8"/>
    </row>
    <row r="46" spans="1:15" ht="16.5" customHeight="1" x14ac:dyDescent="0.3">
      <c r="A46" s="10" t="s">
        <v>18</v>
      </c>
    </row>
    <row r="47" spans="1:15" ht="15" customHeight="1" x14ac:dyDescent="0.3">
      <c r="A47" s="2" t="s">
        <v>19</v>
      </c>
      <c r="B47" s="14">
        <f>SUM('FE Sales YR 1'!M51)</f>
        <v>4363039.9350000005</v>
      </c>
      <c r="C47" s="14">
        <f>B51</f>
        <v>4570074.4063125011</v>
      </c>
      <c r="D47" s="14">
        <f t="shared" ref="D47:M47" si="28">C51</f>
        <v>4777019.670062501</v>
      </c>
      <c r="E47" s="14">
        <f t="shared" si="28"/>
        <v>4981764.9338125009</v>
      </c>
      <c r="F47" s="14">
        <f t="shared" si="28"/>
        <v>5183810.1975625008</v>
      </c>
      <c r="G47" s="14">
        <f t="shared" si="28"/>
        <v>5385855.4613125008</v>
      </c>
      <c r="H47" s="14">
        <f t="shared" si="28"/>
        <v>5587900.7250625007</v>
      </c>
      <c r="I47" s="14">
        <f t="shared" si="28"/>
        <v>5810303.9929375006</v>
      </c>
      <c r="J47" s="14">
        <f t="shared" si="28"/>
        <v>6137466.2663125005</v>
      </c>
      <c r="K47" s="14">
        <f t="shared" si="28"/>
        <v>6543197.7938125003</v>
      </c>
      <c r="L47" s="14">
        <f t="shared" si="28"/>
        <v>6948929.3213125002</v>
      </c>
      <c r="M47" s="14">
        <f t="shared" si="28"/>
        <v>7354660.8488125</v>
      </c>
      <c r="O47" s="69"/>
    </row>
    <row r="48" spans="1:15" x14ac:dyDescent="0.3">
      <c r="A48" s="2" t="s">
        <v>20</v>
      </c>
      <c r="B48" s="14">
        <f>B43+B47</f>
        <v>5006877.4063125011</v>
      </c>
      <c r="C48" s="14">
        <f t="shared" ref="C48:L48" si="29">C43+C47</f>
        <v>5213822.670062501</v>
      </c>
      <c r="D48" s="14">
        <f t="shared" si="29"/>
        <v>5418567.9338125009</v>
      </c>
      <c r="E48" s="14">
        <f t="shared" si="29"/>
        <v>5620613.1975625008</v>
      </c>
      <c r="F48" s="14">
        <f t="shared" si="29"/>
        <v>5822658.4613125008</v>
      </c>
      <c r="G48" s="14">
        <f t="shared" si="29"/>
        <v>6024703.7250625007</v>
      </c>
      <c r="H48" s="14">
        <f t="shared" si="29"/>
        <v>6378147.892937501</v>
      </c>
      <c r="I48" s="14">
        <f t="shared" si="29"/>
        <v>6880031.3663125001</v>
      </c>
      <c r="J48" s="14">
        <f t="shared" si="29"/>
        <v>7416803.7938125003</v>
      </c>
      <c r="K48" s="14">
        <f t="shared" si="29"/>
        <v>7822535.3213125002</v>
      </c>
      <c r="L48" s="14">
        <f t="shared" si="29"/>
        <v>8228266.8488125</v>
      </c>
      <c r="M48" s="14">
        <f t="shared" ref="M48" si="30">M43+M47</f>
        <v>8633998.3763124999</v>
      </c>
    </row>
    <row r="49" spans="1:20" x14ac:dyDescent="0.3">
      <c r="A49" s="3" t="s">
        <v>77</v>
      </c>
      <c r="B49" s="29">
        <f>SUM(B76:B80)</f>
        <v>436803</v>
      </c>
      <c r="C49" s="29">
        <f t="shared" ref="C49:L49" si="31">SUM(C76:C80)</f>
        <v>436803</v>
      </c>
      <c r="D49" s="29">
        <f t="shared" si="31"/>
        <v>436803</v>
      </c>
      <c r="E49" s="29">
        <f t="shared" si="31"/>
        <v>436803</v>
      </c>
      <c r="F49" s="29">
        <f t="shared" si="31"/>
        <v>436803</v>
      </c>
      <c r="G49" s="29">
        <f t="shared" si="31"/>
        <v>436803</v>
      </c>
      <c r="H49" s="29">
        <f t="shared" si="31"/>
        <v>567843.9</v>
      </c>
      <c r="I49" s="29">
        <f t="shared" si="31"/>
        <v>742565.1</v>
      </c>
      <c r="J49" s="29">
        <f t="shared" si="31"/>
        <v>873606</v>
      </c>
      <c r="K49" s="29">
        <f t="shared" si="31"/>
        <v>873606</v>
      </c>
      <c r="L49" s="29">
        <f t="shared" si="31"/>
        <v>873606</v>
      </c>
      <c r="M49" s="29">
        <f t="shared" ref="M49" si="32">SUM(M75:M79)</f>
        <v>1052868.4725000001</v>
      </c>
    </row>
    <row r="50" spans="1:20" x14ac:dyDescent="0.3">
      <c r="A50" s="3" t="s">
        <v>79</v>
      </c>
      <c r="B50" s="29">
        <v>0</v>
      </c>
      <c r="C50" s="29">
        <v>0</v>
      </c>
      <c r="D50" s="29">
        <v>0</v>
      </c>
      <c r="E50" s="29">
        <f>SUM('FE Sales YR 1'!S75)</f>
        <v>1435900.7432818746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P50" s="52"/>
      <c r="Q50" s="52" t="s">
        <v>69</v>
      </c>
      <c r="R50" s="52" t="s">
        <v>65</v>
      </c>
      <c r="S50" s="62" t="s">
        <v>67</v>
      </c>
      <c r="T50" s="62" t="s">
        <v>66</v>
      </c>
    </row>
    <row r="51" spans="1:20" x14ac:dyDescent="0.3">
      <c r="A51" s="3" t="s">
        <v>80</v>
      </c>
      <c r="B51" s="76">
        <f>SUM(B48)-B49</f>
        <v>4570074.4063125011</v>
      </c>
      <c r="C51" s="76">
        <f t="shared" ref="C51:M51" si="33">SUM(C48)-C49</f>
        <v>4777019.670062501</v>
      </c>
      <c r="D51" s="76">
        <f t="shared" si="33"/>
        <v>4981764.9338125009</v>
      </c>
      <c r="E51" s="76">
        <f t="shared" si="33"/>
        <v>5183810.1975625008</v>
      </c>
      <c r="F51" s="76">
        <f t="shared" si="33"/>
        <v>5385855.4613125008</v>
      </c>
      <c r="G51" s="76">
        <f t="shared" si="33"/>
        <v>5587900.7250625007</v>
      </c>
      <c r="H51" s="76">
        <f t="shared" si="33"/>
        <v>5810303.9929375006</v>
      </c>
      <c r="I51" s="76">
        <f t="shared" si="33"/>
        <v>6137466.2663125005</v>
      </c>
      <c r="J51" s="76">
        <f t="shared" si="33"/>
        <v>6543197.7938125003</v>
      </c>
      <c r="K51" s="76">
        <f t="shared" si="33"/>
        <v>6948929.3213125002</v>
      </c>
      <c r="L51" s="76">
        <f t="shared" si="33"/>
        <v>7354660.8488125</v>
      </c>
      <c r="M51" s="76">
        <f t="shared" si="33"/>
        <v>7581129.9038124997</v>
      </c>
      <c r="P51" s="50" t="s">
        <v>1</v>
      </c>
      <c r="Q51" s="74">
        <f>SUM(N65)/1</f>
        <v>313586.25</v>
      </c>
      <c r="R51" s="51">
        <v>8400</v>
      </c>
      <c r="S51" s="51">
        <f>SUM(N65*3%)/N5</f>
        <v>9407.5874999999996</v>
      </c>
      <c r="T51" s="49">
        <f>SUM(Q51:S51)/12</f>
        <v>27616.153125000001</v>
      </c>
    </row>
    <row r="52" spans="1:20" x14ac:dyDescent="0.3">
      <c r="P52" s="50" t="s">
        <v>2</v>
      </c>
      <c r="Q52" s="74">
        <f>SUM(N66)/4.5</f>
        <v>64842.916666666664</v>
      </c>
      <c r="R52" s="51">
        <v>8400</v>
      </c>
      <c r="S52" s="51">
        <f>SUM(N66*3%)/N6</f>
        <v>1458.9656249999998</v>
      </c>
      <c r="T52" s="49">
        <f t="shared" ref="T52:T55" si="34">SUM(Q52:S52)/12</f>
        <v>6225.1568576388881</v>
      </c>
    </row>
    <row r="53" spans="1:20" x14ac:dyDescent="0.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P53" s="50" t="s">
        <v>4</v>
      </c>
      <c r="Q53" s="74">
        <f>SUM(N67)/1.5</f>
        <v>83623</v>
      </c>
      <c r="R53" s="51">
        <v>8400</v>
      </c>
      <c r="S53" s="51">
        <f>SUM(N67*3%)/N7</f>
        <v>1881.5174999999999</v>
      </c>
      <c r="T53" s="49">
        <f t="shared" si="34"/>
        <v>7825.3764583333332</v>
      </c>
    </row>
    <row r="54" spans="1:20" x14ac:dyDescent="0.3">
      <c r="P54" s="50" t="s">
        <v>3</v>
      </c>
      <c r="Q54" s="74">
        <f>SUM(N68)/9.5</f>
        <v>105806.84210526316</v>
      </c>
      <c r="R54" s="51">
        <v>8400</v>
      </c>
      <c r="S54" s="51">
        <f>SUM(N68*3%)/N8</f>
        <v>2512.9124999999999</v>
      </c>
      <c r="T54" s="49">
        <f t="shared" si="34"/>
        <v>9726.6462171052644</v>
      </c>
    </row>
    <row r="55" spans="1:20" x14ac:dyDescent="0.3">
      <c r="A55" s="10" t="s">
        <v>41</v>
      </c>
      <c r="P55" s="50" t="s">
        <v>5</v>
      </c>
      <c r="Q55" s="74">
        <f>SUM(N69)/1.5</f>
        <v>157335.00000000003</v>
      </c>
      <c r="R55" s="51">
        <v>8400</v>
      </c>
      <c r="S55" s="51">
        <f>SUM(N69*3%)/N9</f>
        <v>3540.0375000000004</v>
      </c>
      <c r="T55" s="49">
        <f t="shared" si="34"/>
        <v>14106.253125000003</v>
      </c>
    </row>
    <row r="56" spans="1:20" x14ac:dyDescent="0.3">
      <c r="A56" s="2" t="s">
        <v>1</v>
      </c>
      <c r="B56" s="34">
        <f t="shared" ref="B56:M56" si="35">SUM(B65)/B15</f>
        <v>2.5000000000000001E-2</v>
      </c>
      <c r="C56" s="34">
        <f t="shared" si="35"/>
        <v>2.5000000000000001E-2</v>
      </c>
      <c r="D56" s="34">
        <f t="shared" si="35"/>
        <v>2.5000000000000001E-2</v>
      </c>
      <c r="E56" s="34">
        <f t="shared" si="35"/>
        <v>2.5000000000000001E-2</v>
      </c>
      <c r="F56" s="34">
        <f t="shared" si="35"/>
        <v>2.5000000000000001E-2</v>
      </c>
      <c r="G56" s="34">
        <f t="shared" si="35"/>
        <v>2.5000000000000001E-2</v>
      </c>
      <c r="H56" s="34">
        <f t="shared" si="35"/>
        <v>2.5000000000000001E-2</v>
      </c>
      <c r="I56" s="34">
        <f t="shared" si="35"/>
        <v>2.5000000000000001E-2</v>
      </c>
      <c r="J56" s="34">
        <f t="shared" si="35"/>
        <v>2.5000000000000001E-2</v>
      </c>
      <c r="K56" s="34">
        <f t="shared" si="35"/>
        <v>2.5000000000000001E-2</v>
      </c>
      <c r="L56" s="34">
        <f t="shared" si="35"/>
        <v>2.5000000000000001E-2</v>
      </c>
      <c r="M56" s="34">
        <f t="shared" si="35"/>
        <v>2.5000000000000001E-2</v>
      </c>
    </row>
    <row r="57" spans="1:20" x14ac:dyDescent="0.3">
      <c r="A57" s="2" t="s">
        <v>2</v>
      </c>
      <c r="B57" s="34">
        <f t="shared" ref="B57:M57" si="36">SUM(B66)/B15</f>
        <v>2.2664667615368977E-2</v>
      </c>
      <c r="C57" s="34">
        <f t="shared" si="36"/>
        <v>2.2664667615368977E-2</v>
      </c>
      <c r="D57" s="34">
        <f t="shared" si="36"/>
        <v>2.2664667615368977E-2</v>
      </c>
      <c r="E57" s="34">
        <f t="shared" si="36"/>
        <v>2.2664667615368977E-2</v>
      </c>
      <c r="F57" s="34">
        <f t="shared" si="36"/>
        <v>2.2664667615368977E-2</v>
      </c>
      <c r="G57" s="34">
        <f t="shared" si="36"/>
        <v>2.2664667615368977E-2</v>
      </c>
      <c r="H57" s="34">
        <f t="shared" si="36"/>
        <v>2.8137950177490736E-2</v>
      </c>
      <c r="I57" s="34">
        <f t="shared" si="36"/>
        <v>2.4458432488669385E-2</v>
      </c>
      <c r="J57" s="34">
        <f t="shared" si="36"/>
        <v>2.2664667615368977E-2</v>
      </c>
      <c r="K57" s="34">
        <f t="shared" si="36"/>
        <v>2.2664667615368977E-2</v>
      </c>
      <c r="L57" s="34">
        <f t="shared" si="36"/>
        <v>2.2664667615368977E-2</v>
      </c>
      <c r="M57" s="34">
        <f t="shared" si="36"/>
        <v>2.2664667615368977E-2</v>
      </c>
    </row>
    <row r="58" spans="1:20" x14ac:dyDescent="0.3">
      <c r="A58" s="2" t="s">
        <v>4</v>
      </c>
      <c r="B58" s="34">
        <f t="shared" ref="B58:M58" si="37">SUM(B67)/B$15</f>
        <v>0.01</v>
      </c>
      <c r="C58" s="34">
        <f t="shared" si="37"/>
        <v>0.01</v>
      </c>
      <c r="D58" s="34">
        <f t="shared" si="37"/>
        <v>0.01</v>
      </c>
      <c r="E58" s="34">
        <f t="shared" si="37"/>
        <v>0.01</v>
      </c>
      <c r="F58" s="34">
        <f t="shared" si="37"/>
        <v>0.01</v>
      </c>
      <c r="G58" s="34">
        <f t="shared" si="37"/>
        <v>0.01</v>
      </c>
      <c r="H58" s="34">
        <f t="shared" si="37"/>
        <v>9.9999999999999985E-3</v>
      </c>
      <c r="I58" s="34">
        <f t="shared" si="37"/>
        <v>0.01</v>
      </c>
      <c r="J58" s="34">
        <f t="shared" si="37"/>
        <v>0.01</v>
      </c>
      <c r="K58" s="34">
        <f t="shared" si="37"/>
        <v>0.01</v>
      </c>
      <c r="L58" s="34">
        <f t="shared" si="37"/>
        <v>0.01</v>
      </c>
      <c r="M58" s="34">
        <f t="shared" si="37"/>
        <v>0.01</v>
      </c>
    </row>
    <row r="59" spans="1:20" x14ac:dyDescent="0.3">
      <c r="A59" s="2" t="s">
        <v>3</v>
      </c>
      <c r="B59" s="34">
        <f t="shared" ref="B59:M59" si="38">SUM(B68)/B$15</f>
        <v>7.8938808700955473E-2</v>
      </c>
      <c r="C59" s="34">
        <f t="shared" si="38"/>
        <v>7.8938808700955473E-2</v>
      </c>
      <c r="D59" s="34">
        <f t="shared" si="38"/>
        <v>7.8938808700955473E-2</v>
      </c>
      <c r="E59" s="34">
        <f t="shared" si="38"/>
        <v>7.8938808700955473E-2</v>
      </c>
      <c r="F59" s="34">
        <f t="shared" si="38"/>
        <v>7.8938808700955473E-2</v>
      </c>
      <c r="G59" s="34">
        <f t="shared" si="38"/>
        <v>7.8938808700955473E-2</v>
      </c>
      <c r="H59" s="34">
        <f t="shared" si="38"/>
        <v>8.9885373825198997E-2</v>
      </c>
      <c r="I59" s="34">
        <f t="shared" si="38"/>
        <v>8.2526338447556288E-2</v>
      </c>
      <c r="J59" s="34">
        <f t="shared" si="38"/>
        <v>7.8938808700955473E-2</v>
      </c>
      <c r="K59" s="34">
        <f t="shared" si="38"/>
        <v>7.8938808700955473E-2</v>
      </c>
      <c r="L59" s="34">
        <f t="shared" si="38"/>
        <v>7.8938808700955473E-2</v>
      </c>
      <c r="M59" s="34">
        <f t="shared" si="38"/>
        <v>7.8938808700955473E-2</v>
      </c>
    </row>
    <row r="60" spans="1:20" x14ac:dyDescent="0.3">
      <c r="A60" s="2" t="s">
        <v>5</v>
      </c>
      <c r="B60" s="34">
        <f t="shared" ref="B60:M60" si="39">SUM(B69)/B$15</f>
        <v>1.8814799756047981E-2</v>
      </c>
      <c r="C60" s="34">
        <f t="shared" si="39"/>
        <v>1.8814799756047981E-2</v>
      </c>
      <c r="D60" s="34">
        <f t="shared" si="39"/>
        <v>1.8814799756047981E-2</v>
      </c>
      <c r="E60" s="34">
        <f t="shared" si="39"/>
        <v>1.8814799756047981E-2</v>
      </c>
      <c r="F60" s="34">
        <f t="shared" si="39"/>
        <v>1.8814799756047981E-2</v>
      </c>
      <c r="G60" s="34">
        <f t="shared" si="39"/>
        <v>1.8814799756047981E-2</v>
      </c>
      <c r="H60" s="34">
        <f t="shared" si="39"/>
        <v>1.8814799756047978E-2</v>
      </c>
      <c r="I60" s="34">
        <f t="shared" si="39"/>
        <v>1.8814799756047981E-2</v>
      </c>
      <c r="J60" s="34">
        <f t="shared" si="39"/>
        <v>1.8814799756047981E-2</v>
      </c>
      <c r="K60" s="34">
        <f t="shared" si="39"/>
        <v>1.8814799756047981E-2</v>
      </c>
      <c r="L60" s="34">
        <f t="shared" si="39"/>
        <v>1.8814799756047981E-2</v>
      </c>
      <c r="M60" s="34">
        <f t="shared" si="39"/>
        <v>1.8814799756047981E-2</v>
      </c>
    </row>
    <row r="61" spans="1:20" x14ac:dyDescent="0.3">
      <c r="A61" s="31" t="s">
        <v>8</v>
      </c>
      <c r="B61" s="35">
        <f t="shared" ref="B61:M61" si="40">SUM(B56:B60)</f>
        <v>0.15541827607237246</v>
      </c>
      <c r="C61" s="35">
        <f t="shared" si="40"/>
        <v>0.15541827607237246</v>
      </c>
      <c r="D61" s="35">
        <f t="shared" si="40"/>
        <v>0.15541827607237246</v>
      </c>
      <c r="E61" s="35">
        <f t="shared" si="40"/>
        <v>0.15541827607237246</v>
      </c>
      <c r="F61" s="35">
        <f t="shared" si="40"/>
        <v>0.15541827607237246</v>
      </c>
      <c r="G61" s="35">
        <f t="shared" si="40"/>
        <v>0.15541827607237246</v>
      </c>
      <c r="H61" s="35">
        <f t="shared" si="40"/>
        <v>0.17183812375873769</v>
      </c>
      <c r="I61" s="35">
        <f t="shared" si="40"/>
        <v>0.16079957069227369</v>
      </c>
      <c r="J61" s="35">
        <f t="shared" si="40"/>
        <v>0.15541827607237246</v>
      </c>
      <c r="K61" s="35">
        <f t="shared" si="40"/>
        <v>0.15541827607237246</v>
      </c>
      <c r="L61" s="35">
        <f t="shared" si="40"/>
        <v>0.15541827607237246</v>
      </c>
      <c r="M61" s="35">
        <f t="shared" si="40"/>
        <v>0.15541827607237246</v>
      </c>
    </row>
    <row r="62" spans="1:20" x14ac:dyDescent="0.3">
      <c r="A62" s="37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20" x14ac:dyDescent="0.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20" x14ac:dyDescent="0.3">
      <c r="A64" s="28" t="s">
        <v>42</v>
      </c>
    </row>
    <row r="65" spans="1:19" x14ac:dyDescent="0.3">
      <c r="A65" s="2" t="s">
        <v>1</v>
      </c>
      <c r="B65" s="14">
        <f t="shared" ref="B65:M65" si="41">SUM(B5*$Q5)+(B14*$R5)+(B13*$S5)</f>
        <v>18446.25</v>
      </c>
      <c r="C65" s="14">
        <f t="shared" si="41"/>
        <v>18446.25</v>
      </c>
      <c r="D65" s="14">
        <f t="shared" si="41"/>
        <v>18446.25</v>
      </c>
      <c r="E65" s="14">
        <f t="shared" si="41"/>
        <v>18446.25</v>
      </c>
      <c r="F65" s="14">
        <f t="shared" si="41"/>
        <v>18446.25</v>
      </c>
      <c r="G65" s="14">
        <f t="shared" si="41"/>
        <v>18446.25</v>
      </c>
      <c r="H65" s="14">
        <f t="shared" si="41"/>
        <v>23980.125</v>
      </c>
      <c r="I65" s="14">
        <f t="shared" si="41"/>
        <v>31358.625</v>
      </c>
      <c r="J65" s="14">
        <f t="shared" si="41"/>
        <v>36892.5</v>
      </c>
      <c r="K65" s="14">
        <f t="shared" si="41"/>
        <v>36892.5</v>
      </c>
      <c r="L65" s="14">
        <f t="shared" si="41"/>
        <v>36892.5</v>
      </c>
      <c r="M65" s="14">
        <f t="shared" si="41"/>
        <v>36892.5</v>
      </c>
      <c r="N65" s="73">
        <f t="shared" ref="N65:N70" si="42">SUM(B65:M65)</f>
        <v>313586.25</v>
      </c>
    </row>
    <row r="66" spans="1:19" x14ac:dyDescent="0.3">
      <c r="A66" s="2" t="s">
        <v>2</v>
      </c>
      <c r="B66" s="14">
        <f t="shared" ref="B66:M66" si="43">SUM(B6*$Q6)+(B$13*$S6)+(B$14*$R6)</f>
        <v>16723.125</v>
      </c>
      <c r="C66" s="14">
        <f t="shared" si="43"/>
        <v>16723.125</v>
      </c>
      <c r="D66" s="14">
        <f t="shared" si="43"/>
        <v>16723.125</v>
      </c>
      <c r="E66" s="14">
        <f t="shared" si="43"/>
        <v>16723.125</v>
      </c>
      <c r="F66" s="14">
        <f t="shared" si="43"/>
        <v>16723.125</v>
      </c>
      <c r="G66" s="14">
        <f t="shared" si="43"/>
        <v>16723.125</v>
      </c>
      <c r="H66" s="14">
        <f t="shared" si="43"/>
        <v>26990.0625</v>
      </c>
      <c r="I66" s="14">
        <f t="shared" si="43"/>
        <v>30679.3125</v>
      </c>
      <c r="J66" s="14">
        <f t="shared" si="43"/>
        <v>33446.25</v>
      </c>
      <c r="K66" s="14">
        <f t="shared" si="43"/>
        <v>33446.25</v>
      </c>
      <c r="L66" s="14">
        <f t="shared" si="43"/>
        <v>33446.25</v>
      </c>
      <c r="M66" s="14">
        <f t="shared" si="43"/>
        <v>33446.25</v>
      </c>
      <c r="N66" s="73">
        <f t="shared" si="42"/>
        <v>291793.125</v>
      </c>
    </row>
    <row r="67" spans="1:19" x14ac:dyDescent="0.3">
      <c r="A67" s="2" t="s">
        <v>4</v>
      </c>
      <c r="B67" s="14">
        <f t="shared" ref="B67:M67" si="44">SUM(B7*$Q7)+(B$13*$S7)+(B$14*$R7)</f>
        <v>7378.5</v>
      </c>
      <c r="C67" s="14">
        <f t="shared" si="44"/>
        <v>7378.5</v>
      </c>
      <c r="D67" s="14">
        <f t="shared" si="44"/>
        <v>7378.5</v>
      </c>
      <c r="E67" s="14">
        <f t="shared" si="44"/>
        <v>7378.5</v>
      </c>
      <c r="F67" s="14">
        <f t="shared" si="44"/>
        <v>7378.5</v>
      </c>
      <c r="G67" s="14">
        <f t="shared" si="44"/>
        <v>7378.5</v>
      </c>
      <c r="H67" s="14">
        <f t="shared" si="44"/>
        <v>9592.0499999999993</v>
      </c>
      <c r="I67" s="14">
        <f t="shared" si="44"/>
        <v>12543.45</v>
      </c>
      <c r="J67" s="14">
        <f t="shared" si="44"/>
        <v>14757</v>
      </c>
      <c r="K67" s="14">
        <f t="shared" si="44"/>
        <v>14757</v>
      </c>
      <c r="L67" s="14">
        <f t="shared" si="44"/>
        <v>14757</v>
      </c>
      <c r="M67" s="14">
        <f t="shared" si="44"/>
        <v>14757</v>
      </c>
      <c r="N67" s="73">
        <f t="shared" si="42"/>
        <v>125434.5</v>
      </c>
    </row>
    <row r="68" spans="1:19" x14ac:dyDescent="0.3">
      <c r="A68" s="2" t="s">
        <v>3</v>
      </c>
      <c r="B68" s="14">
        <f t="shared" ref="B68:M68" si="45">SUM(B8*$Q8)+(B$13*$S8)+(B$14*$R8)</f>
        <v>58245</v>
      </c>
      <c r="C68" s="14">
        <f t="shared" si="45"/>
        <v>58245</v>
      </c>
      <c r="D68" s="14">
        <f t="shared" si="45"/>
        <v>58245</v>
      </c>
      <c r="E68" s="14">
        <f t="shared" si="45"/>
        <v>58245</v>
      </c>
      <c r="F68" s="14">
        <f t="shared" si="45"/>
        <v>58245</v>
      </c>
      <c r="G68" s="14">
        <f t="shared" si="45"/>
        <v>58245</v>
      </c>
      <c r="H68" s="14">
        <f t="shared" si="45"/>
        <v>86218.5</v>
      </c>
      <c r="I68" s="14">
        <f t="shared" si="45"/>
        <v>103516.5</v>
      </c>
      <c r="J68" s="14">
        <f t="shared" si="45"/>
        <v>116490</v>
      </c>
      <c r="K68" s="14">
        <f t="shared" si="45"/>
        <v>116490</v>
      </c>
      <c r="L68" s="14">
        <f t="shared" si="45"/>
        <v>116490</v>
      </c>
      <c r="M68" s="14">
        <f t="shared" si="45"/>
        <v>116490</v>
      </c>
      <c r="N68" s="73">
        <f t="shared" si="42"/>
        <v>1005165</v>
      </c>
    </row>
    <row r="69" spans="1:19" x14ac:dyDescent="0.3">
      <c r="A69" s="2" t="s">
        <v>5</v>
      </c>
      <c r="B69" s="14">
        <f t="shared" ref="B69:M69" si="46">SUM(B9*$Q9)+(B$13*$S9)+(B$14*$R9)</f>
        <v>13882.500000000002</v>
      </c>
      <c r="C69" s="14">
        <f t="shared" si="46"/>
        <v>13882.500000000002</v>
      </c>
      <c r="D69" s="14">
        <f t="shared" si="46"/>
        <v>13882.500000000002</v>
      </c>
      <c r="E69" s="14">
        <f t="shared" si="46"/>
        <v>13882.500000000002</v>
      </c>
      <c r="F69" s="14">
        <f t="shared" si="46"/>
        <v>13882.500000000002</v>
      </c>
      <c r="G69" s="14">
        <f t="shared" si="46"/>
        <v>13882.500000000002</v>
      </c>
      <c r="H69" s="14">
        <f t="shared" si="46"/>
        <v>18047.25</v>
      </c>
      <c r="I69" s="14">
        <f t="shared" si="46"/>
        <v>23600.250000000004</v>
      </c>
      <c r="J69" s="14">
        <f t="shared" si="46"/>
        <v>27765.000000000004</v>
      </c>
      <c r="K69" s="14">
        <f t="shared" si="46"/>
        <v>27765.000000000004</v>
      </c>
      <c r="L69" s="14">
        <f t="shared" si="46"/>
        <v>27765.000000000004</v>
      </c>
      <c r="M69" s="14">
        <f t="shared" si="46"/>
        <v>27765.000000000004</v>
      </c>
      <c r="N69" s="73">
        <f t="shared" si="42"/>
        <v>236002.50000000003</v>
      </c>
    </row>
    <row r="70" spans="1:19" x14ac:dyDescent="0.3">
      <c r="A70" s="38" t="s">
        <v>76</v>
      </c>
      <c r="B70" s="14">
        <f t="shared" ref="B70:M70" si="47">SUM(B22:B24)</f>
        <v>11830.7786875</v>
      </c>
      <c r="C70" s="14">
        <f t="shared" si="47"/>
        <v>13216.36125</v>
      </c>
      <c r="D70" s="14">
        <f t="shared" si="47"/>
        <v>13216.36125</v>
      </c>
      <c r="E70" s="14">
        <f t="shared" si="47"/>
        <v>13216.36125</v>
      </c>
      <c r="F70" s="14">
        <f t="shared" si="47"/>
        <v>13216.36125</v>
      </c>
      <c r="G70" s="14">
        <f t="shared" si="47"/>
        <v>13216.36125</v>
      </c>
      <c r="H70" s="14">
        <f t="shared" si="47"/>
        <v>24038.644625000001</v>
      </c>
      <c r="I70" s="14">
        <f t="shared" si="47"/>
        <v>25006.689125000001</v>
      </c>
      <c r="J70" s="14">
        <f t="shared" si="47"/>
        <v>25732.7225</v>
      </c>
      <c r="K70" s="14">
        <f t="shared" si="47"/>
        <v>25732.7225</v>
      </c>
      <c r="L70" s="14">
        <f t="shared" si="47"/>
        <v>25732.7225</v>
      </c>
      <c r="M70" s="14">
        <f t="shared" si="47"/>
        <v>25732.7225</v>
      </c>
      <c r="N70" s="73">
        <f t="shared" si="42"/>
        <v>229888.80868750002</v>
      </c>
    </row>
    <row r="71" spans="1:19" x14ac:dyDescent="0.3">
      <c r="A71" s="6" t="s">
        <v>8</v>
      </c>
      <c r="B71" s="33">
        <f>SUM(B65:B70)</f>
        <v>126506.1536875</v>
      </c>
      <c r="C71" s="33">
        <f t="shared" ref="C71:M71" si="48">SUM(C65:C70)</f>
        <v>127891.73625</v>
      </c>
      <c r="D71" s="33">
        <f t="shared" si="48"/>
        <v>127891.73625</v>
      </c>
      <c r="E71" s="33">
        <f t="shared" si="48"/>
        <v>127891.73625</v>
      </c>
      <c r="F71" s="33">
        <f t="shared" si="48"/>
        <v>127891.73625</v>
      </c>
      <c r="G71" s="33">
        <f t="shared" si="48"/>
        <v>127891.73625</v>
      </c>
      <c r="H71" s="33">
        <f t="shared" si="48"/>
        <v>188866.632125</v>
      </c>
      <c r="I71" s="33">
        <f t="shared" si="48"/>
        <v>226704.82662500002</v>
      </c>
      <c r="J71" s="33">
        <f t="shared" si="48"/>
        <v>255083.4725</v>
      </c>
      <c r="K71" s="33">
        <f t="shared" si="48"/>
        <v>255083.4725</v>
      </c>
      <c r="L71" s="33">
        <f t="shared" si="48"/>
        <v>255083.4725</v>
      </c>
      <c r="M71" s="33">
        <f t="shared" si="48"/>
        <v>255083.4725</v>
      </c>
      <c r="N71" s="73">
        <f>SUM(N65:N70)</f>
        <v>2201870.1836875002</v>
      </c>
      <c r="P71" s="47">
        <f>SUM(100%-O81)</f>
        <v>0.270173073700816</v>
      </c>
      <c r="Q71" s="48" t="s">
        <v>45</v>
      </c>
    </row>
    <row r="72" spans="1:19" x14ac:dyDescent="0.3">
      <c r="P72" s="30">
        <f>SUM(N15)*P71</f>
        <v>3388902.4413125003</v>
      </c>
      <c r="Q72" s="48" t="s">
        <v>46</v>
      </c>
    </row>
    <row r="73" spans="1:19" x14ac:dyDescent="0.3">
      <c r="Q73" s="79"/>
    </row>
    <row r="74" spans="1:19" x14ac:dyDescent="0.3">
      <c r="A74" s="10" t="s">
        <v>59</v>
      </c>
      <c r="O74" s="45" t="s">
        <v>44</v>
      </c>
      <c r="Q74" s="45" t="s">
        <v>58</v>
      </c>
      <c r="R74" s="45" t="s">
        <v>44</v>
      </c>
      <c r="S74" s="45" t="s">
        <v>55</v>
      </c>
    </row>
    <row r="75" spans="1:19" x14ac:dyDescent="0.3">
      <c r="A75" s="3" t="s">
        <v>71</v>
      </c>
      <c r="B75" s="29">
        <f>SUM(B18:B40)</f>
        <v>94512.528687499987</v>
      </c>
      <c r="C75" s="29">
        <f t="shared" ref="C75:M75" si="49">SUM(C18:C40)</f>
        <v>95031.736250000002</v>
      </c>
      <c r="D75" s="29">
        <f t="shared" si="49"/>
        <v>96601.736250000002</v>
      </c>
      <c r="E75" s="29">
        <f t="shared" si="49"/>
        <v>99301.736250000002</v>
      </c>
      <c r="F75" s="29">
        <f t="shared" si="49"/>
        <v>99301.736250000002</v>
      </c>
      <c r="G75" s="29">
        <f t="shared" si="49"/>
        <v>99301.736250000002</v>
      </c>
      <c r="H75" s="29">
        <f t="shared" si="49"/>
        <v>171777.83212500002</v>
      </c>
      <c r="I75" s="29">
        <f t="shared" si="49"/>
        <v>185217.62662499998</v>
      </c>
      <c r="J75" s="29">
        <f t="shared" si="49"/>
        <v>196962.4725</v>
      </c>
      <c r="K75" s="29">
        <f t="shared" si="49"/>
        <v>196962.4725</v>
      </c>
      <c r="L75" s="29">
        <f t="shared" si="49"/>
        <v>196962.4725</v>
      </c>
      <c r="M75" s="29">
        <f t="shared" si="49"/>
        <v>196962.4725</v>
      </c>
      <c r="N75" s="33">
        <f t="shared" ref="N75:N80" si="50">SUM(B75:M75)</f>
        <v>1728896.5586874997</v>
      </c>
      <c r="O75" s="44">
        <f>SUM(N75)/N15</f>
        <v>0.13783261851304862</v>
      </c>
      <c r="Q75" s="60" t="s">
        <v>56</v>
      </c>
      <c r="R75" s="47">
        <f>SUM(P71)</f>
        <v>0.270173073700816</v>
      </c>
      <c r="S75" s="30">
        <f>SUM(P72)*R75</f>
        <v>915590.18904159742</v>
      </c>
    </row>
    <row r="76" spans="1:19" x14ac:dyDescent="0.3">
      <c r="A76" s="46" t="s">
        <v>60</v>
      </c>
      <c r="B76" s="29">
        <f t="shared" ref="B76:M76" si="51">SUM(B15)*25%</f>
        <v>184462.5</v>
      </c>
      <c r="C76" s="29">
        <f t="shared" si="51"/>
        <v>184462.5</v>
      </c>
      <c r="D76" s="29">
        <f t="shared" si="51"/>
        <v>184462.5</v>
      </c>
      <c r="E76" s="29">
        <f t="shared" si="51"/>
        <v>184462.5</v>
      </c>
      <c r="F76" s="29">
        <f t="shared" si="51"/>
        <v>184462.5</v>
      </c>
      <c r="G76" s="29">
        <f t="shared" si="51"/>
        <v>184462.5</v>
      </c>
      <c r="H76" s="29">
        <f t="shared" si="51"/>
        <v>239801.25</v>
      </c>
      <c r="I76" s="29">
        <f t="shared" si="51"/>
        <v>313586.25</v>
      </c>
      <c r="J76" s="29">
        <f t="shared" si="51"/>
        <v>368925</v>
      </c>
      <c r="K76" s="29">
        <f t="shared" si="51"/>
        <v>368925</v>
      </c>
      <c r="L76" s="29">
        <f t="shared" si="51"/>
        <v>368925</v>
      </c>
      <c r="M76" s="29">
        <f t="shared" si="51"/>
        <v>368925</v>
      </c>
      <c r="N76" s="33">
        <f t="shared" si="50"/>
        <v>3135862.5</v>
      </c>
      <c r="O76" s="44">
        <f>SUM(N76)/N15</f>
        <v>0.25</v>
      </c>
    </row>
    <row r="77" spans="1:19" ht="15" customHeight="1" x14ac:dyDescent="0.3">
      <c r="A77" s="3" t="s">
        <v>78</v>
      </c>
      <c r="B77" s="29">
        <f t="shared" ref="B77:M77" si="52">SUM(B15)*25%</f>
        <v>184462.5</v>
      </c>
      <c r="C77" s="29">
        <f t="shared" si="52"/>
        <v>184462.5</v>
      </c>
      <c r="D77" s="29">
        <f t="shared" si="52"/>
        <v>184462.5</v>
      </c>
      <c r="E77" s="29">
        <f t="shared" si="52"/>
        <v>184462.5</v>
      </c>
      <c r="F77" s="29">
        <f t="shared" si="52"/>
        <v>184462.5</v>
      </c>
      <c r="G77" s="29">
        <f t="shared" si="52"/>
        <v>184462.5</v>
      </c>
      <c r="H77" s="29">
        <f t="shared" si="52"/>
        <v>239801.25</v>
      </c>
      <c r="I77" s="29">
        <f t="shared" si="52"/>
        <v>313586.25</v>
      </c>
      <c r="J77" s="29">
        <f t="shared" si="52"/>
        <v>368925</v>
      </c>
      <c r="K77" s="29">
        <f t="shared" si="52"/>
        <v>368925</v>
      </c>
      <c r="L77" s="29">
        <f t="shared" si="52"/>
        <v>368925</v>
      </c>
      <c r="M77" s="29">
        <f t="shared" si="52"/>
        <v>368925</v>
      </c>
      <c r="N77" s="33">
        <f t="shared" si="50"/>
        <v>3135862.5</v>
      </c>
      <c r="O77" s="44">
        <f>SUM(N77)/N15</f>
        <v>0.25</v>
      </c>
      <c r="Q77" s="5" t="s">
        <v>57</v>
      </c>
      <c r="R77" s="59" t="s">
        <v>44</v>
      </c>
      <c r="S77" s="59" t="s">
        <v>55</v>
      </c>
    </row>
    <row r="78" spans="1:19" ht="15" customHeight="1" x14ac:dyDescent="0.3">
      <c r="A78" s="3" t="s">
        <v>72</v>
      </c>
      <c r="B78" s="29">
        <f t="shared" ref="B78:M78" si="53">SUM(B15)*4.75%</f>
        <v>35047.875</v>
      </c>
      <c r="C78" s="29">
        <f t="shared" si="53"/>
        <v>35047.875</v>
      </c>
      <c r="D78" s="29">
        <f t="shared" si="53"/>
        <v>35047.875</v>
      </c>
      <c r="E78" s="29">
        <f t="shared" si="53"/>
        <v>35047.875</v>
      </c>
      <c r="F78" s="29">
        <f t="shared" si="53"/>
        <v>35047.875</v>
      </c>
      <c r="G78" s="29">
        <f t="shared" si="53"/>
        <v>35047.875</v>
      </c>
      <c r="H78" s="29">
        <f t="shared" si="53"/>
        <v>45562.237500000003</v>
      </c>
      <c r="I78" s="29">
        <f t="shared" si="53"/>
        <v>59581.387499999997</v>
      </c>
      <c r="J78" s="29">
        <f t="shared" si="53"/>
        <v>70095.75</v>
      </c>
      <c r="K78" s="29">
        <f t="shared" si="53"/>
        <v>70095.75</v>
      </c>
      <c r="L78" s="29">
        <f t="shared" si="53"/>
        <v>70095.75</v>
      </c>
      <c r="M78" s="29">
        <f t="shared" si="53"/>
        <v>70095.75</v>
      </c>
      <c r="N78" s="33">
        <f t="shared" si="50"/>
        <v>595813.875</v>
      </c>
      <c r="O78" s="44">
        <f>SUM(N78)/N15</f>
        <v>4.7500000000000001E-2</v>
      </c>
      <c r="Q78" s="60" t="s">
        <v>56</v>
      </c>
      <c r="R78" s="47">
        <f>100%-R75</f>
        <v>0.729826926299184</v>
      </c>
      <c r="S78" s="30">
        <f>SUM(P72)*R78</f>
        <v>2473312.252270903</v>
      </c>
    </row>
    <row r="79" spans="1:19" x14ac:dyDescent="0.3">
      <c r="A79" s="3" t="s">
        <v>75</v>
      </c>
      <c r="B79" s="29">
        <f t="shared" ref="B79:M79" si="54">SUM(B15)*3.25%</f>
        <v>23980.125</v>
      </c>
      <c r="C79" s="29">
        <f t="shared" si="54"/>
        <v>23980.125</v>
      </c>
      <c r="D79" s="29">
        <f t="shared" si="54"/>
        <v>23980.125</v>
      </c>
      <c r="E79" s="29">
        <f t="shared" si="54"/>
        <v>23980.125</v>
      </c>
      <c r="F79" s="29">
        <f t="shared" si="54"/>
        <v>23980.125</v>
      </c>
      <c r="G79" s="29">
        <f t="shared" si="54"/>
        <v>23980.125</v>
      </c>
      <c r="H79" s="29">
        <f t="shared" si="54"/>
        <v>31174.162500000002</v>
      </c>
      <c r="I79" s="29">
        <f t="shared" si="54"/>
        <v>40766.212500000001</v>
      </c>
      <c r="J79" s="29">
        <f t="shared" si="54"/>
        <v>47960.25</v>
      </c>
      <c r="K79" s="29">
        <f t="shared" si="54"/>
        <v>47960.25</v>
      </c>
      <c r="L79" s="29">
        <f t="shared" si="54"/>
        <v>47960.25</v>
      </c>
      <c r="M79" s="29">
        <f t="shared" si="54"/>
        <v>47960.25</v>
      </c>
      <c r="N79" s="43">
        <f t="shared" si="50"/>
        <v>407662.125</v>
      </c>
      <c r="O79" s="44">
        <f>SUM(N79)/N15</f>
        <v>3.2500000000000001E-2</v>
      </c>
    </row>
    <row r="80" spans="1:19" x14ac:dyDescent="0.3">
      <c r="A80" s="3" t="s">
        <v>48</v>
      </c>
      <c r="B80" s="29">
        <f t="shared" ref="B80:M80" si="55">SUM(B14)*1.25%</f>
        <v>8850</v>
      </c>
      <c r="C80" s="29">
        <f t="shared" si="55"/>
        <v>8850</v>
      </c>
      <c r="D80" s="29">
        <f t="shared" si="55"/>
        <v>8850</v>
      </c>
      <c r="E80" s="29">
        <f t="shared" si="55"/>
        <v>8850</v>
      </c>
      <c r="F80" s="29">
        <f t="shared" si="55"/>
        <v>8850</v>
      </c>
      <c r="G80" s="29">
        <f t="shared" si="55"/>
        <v>8850</v>
      </c>
      <c r="H80" s="29">
        <f t="shared" si="55"/>
        <v>11505</v>
      </c>
      <c r="I80" s="29">
        <f t="shared" si="55"/>
        <v>15045</v>
      </c>
      <c r="J80" s="29">
        <f t="shared" si="55"/>
        <v>17700</v>
      </c>
      <c r="K80" s="29">
        <f t="shared" si="55"/>
        <v>17700</v>
      </c>
      <c r="L80" s="29">
        <f t="shared" si="55"/>
        <v>17700</v>
      </c>
      <c r="M80" s="29">
        <f t="shared" si="55"/>
        <v>17700</v>
      </c>
      <c r="N80" s="33">
        <f t="shared" si="50"/>
        <v>150450</v>
      </c>
      <c r="O80" s="44">
        <f>SUM(N80)/N15</f>
        <v>1.1994307786135394E-2</v>
      </c>
    </row>
    <row r="81" spans="1:15" x14ac:dyDescent="0.3">
      <c r="A81" s="6" t="s">
        <v>8</v>
      </c>
      <c r="B81" s="33">
        <f>SUM(B75:B80)</f>
        <v>531315.52868749993</v>
      </c>
      <c r="C81" s="33">
        <f t="shared" ref="C81:N81" si="56">SUM(C75:C80)</f>
        <v>531834.73625000007</v>
      </c>
      <c r="D81" s="33">
        <f t="shared" si="56"/>
        <v>533404.73625000007</v>
      </c>
      <c r="E81" s="33">
        <f t="shared" si="56"/>
        <v>536104.73625000007</v>
      </c>
      <c r="F81" s="33">
        <f t="shared" si="56"/>
        <v>536104.73625000007</v>
      </c>
      <c r="G81" s="33">
        <f t="shared" si="56"/>
        <v>536104.73625000007</v>
      </c>
      <c r="H81" s="33">
        <f t="shared" si="56"/>
        <v>739621.73212499998</v>
      </c>
      <c r="I81" s="33">
        <f t="shared" si="56"/>
        <v>927782.72662500001</v>
      </c>
      <c r="J81" s="33">
        <f t="shared" si="56"/>
        <v>1070568.4725000001</v>
      </c>
      <c r="K81" s="33">
        <f t="shared" si="56"/>
        <v>1070568.4725000001</v>
      </c>
      <c r="L81" s="33">
        <f t="shared" si="56"/>
        <v>1070568.4725000001</v>
      </c>
      <c r="M81" s="33">
        <f t="shared" si="56"/>
        <v>1070568.4725000001</v>
      </c>
      <c r="N81" s="33">
        <f t="shared" si="56"/>
        <v>9154547.5586875007</v>
      </c>
      <c r="O81" s="81">
        <f>SUM(O75:O80)</f>
        <v>0.729826926299184</v>
      </c>
    </row>
    <row r="84" spans="1:15" x14ac:dyDescent="0.3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69"/>
    </row>
  </sheetData>
  <mergeCells count="1">
    <mergeCell ref="B1:M1"/>
  </mergeCells>
  <pageMargins left="0.7" right="0.7" top="0.75" bottom="0.75" header="0.3" footer="0.3"/>
  <pageSetup orientation="portrait" horizontalDpi="4294967292" verticalDpi="1200" r:id="rId1"/>
  <ignoredErrors>
    <ignoredError sqref="Q5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9C34-74EA-446C-9348-8DDCD3216951}">
  <sheetPr>
    <tabColor rgb="FF92D050"/>
  </sheetPr>
  <dimension ref="A1:T85"/>
  <sheetViews>
    <sheetView workbookViewId="0">
      <selection activeCell="J2" sqref="J2"/>
    </sheetView>
  </sheetViews>
  <sheetFormatPr defaultRowHeight="14.4" x14ac:dyDescent="0.3"/>
  <cols>
    <col min="1" max="1" width="32.88671875" customWidth="1"/>
    <col min="2" max="13" width="12.6640625" customWidth="1"/>
    <col min="14" max="14" width="15.33203125" bestFit="1" customWidth="1"/>
    <col min="16" max="16" width="18.6640625" customWidth="1"/>
    <col min="17" max="17" width="18.5546875" customWidth="1"/>
    <col min="18" max="18" width="11.5546875" bestFit="1" customWidth="1"/>
    <col min="19" max="20" width="13.33203125" bestFit="1" customWidth="1"/>
    <col min="21" max="21" width="11.5546875" bestFit="1" customWidth="1"/>
  </cols>
  <sheetData>
    <row r="1" spans="1:20" ht="15" customHeight="1" thickBot="1" x14ac:dyDescent="0.35">
      <c r="A1" s="4"/>
      <c r="B1" s="94" t="s">
        <v>32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P1" s="20" t="s">
        <v>31</v>
      </c>
      <c r="Q1" s="21"/>
      <c r="R1" s="21"/>
      <c r="S1" s="21"/>
      <c r="T1" s="22"/>
    </row>
    <row r="2" spans="1:20" ht="15" customHeight="1" x14ac:dyDescent="0.3">
      <c r="A2" s="4"/>
      <c r="B2" s="39">
        <v>45798</v>
      </c>
      <c r="C2" s="39">
        <v>45829</v>
      </c>
      <c r="D2" s="39" t="s">
        <v>100</v>
      </c>
      <c r="E2" s="39">
        <v>45921</v>
      </c>
      <c r="F2" s="39">
        <v>45951</v>
      </c>
      <c r="G2" s="39">
        <v>45982</v>
      </c>
      <c r="H2" s="39">
        <v>46012</v>
      </c>
      <c r="I2" s="39">
        <v>45678</v>
      </c>
      <c r="J2" s="39">
        <v>44702</v>
      </c>
      <c r="K2" s="39">
        <v>44825</v>
      </c>
      <c r="L2" s="39">
        <v>44855</v>
      </c>
      <c r="M2" s="39">
        <v>44886</v>
      </c>
      <c r="P2" s="12"/>
      <c r="Q2" s="12"/>
      <c r="R2" s="12"/>
      <c r="S2" s="12"/>
      <c r="T2" s="1"/>
    </row>
    <row r="3" spans="1:20" ht="15" customHeight="1" x14ac:dyDescent="0.3">
      <c r="A3" s="13" t="s">
        <v>0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 t="s">
        <v>8</v>
      </c>
      <c r="P3" s="4" t="s">
        <v>30</v>
      </c>
    </row>
    <row r="4" spans="1:20" ht="15" customHeight="1" x14ac:dyDescent="0.3">
      <c r="A4" s="12" t="s">
        <v>53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71"/>
      <c r="P4" s="5" t="s">
        <v>21</v>
      </c>
      <c r="Q4" s="5" t="s">
        <v>22</v>
      </c>
      <c r="R4" s="5" t="s">
        <v>35</v>
      </c>
      <c r="S4" s="53" t="s">
        <v>50</v>
      </c>
    </row>
    <row r="5" spans="1:20" ht="15" customHeight="1" x14ac:dyDescent="0.3">
      <c r="A5" s="2" t="s">
        <v>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17">
        <v>0</v>
      </c>
      <c r="O5" s="72"/>
      <c r="P5" s="89" t="s">
        <v>1</v>
      </c>
      <c r="Q5" s="9">
        <v>0</v>
      </c>
      <c r="R5" s="42">
        <v>0.02</v>
      </c>
      <c r="S5" s="42">
        <v>0.02</v>
      </c>
    </row>
    <row r="6" spans="1:20" ht="15" customHeight="1" x14ac:dyDescent="0.3">
      <c r="A6" s="2" t="s">
        <v>2</v>
      </c>
      <c r="B6" s="3">
        <v>8</v>
      </c>
      <c r="C6" s="3">
        <v>8</v>
      </c>
      <c r="D6" s="3">
        <v>8</v>
      </c>
      <c r="E6" s="3">
        <v>8</v>
      </c>
      <c r="F6" s="3">
        <v>8</v>
      </c>
      <c r="G6" s="3">
        <v>8</v>
      </c>
      <c r="H6" s="92">
        <v>9</v>
      </c>
      <c r="I6" s="3">
        <v>9</v>
      </c>
      <c r="J6" s="3">
        <v>9</v>
      </c>
      <c r="K6" s="3">
        <v>9</v>
      </c>
      <c r="L6" s="3">
        <v>9</v>
      </c>
      <c r="M6" s="3">
        <v>9</v>
      </c>
      <c r="N6" s="17">
        <f t="shared" ref="N6:N9" si="0">SUM(M6)</f>
        <v>9</v>
      </c>
      <c r="O6" s="72"/>
      <c r="P6" s="91" t="s">
        <v>2</v>
      </c>
      <c r="Q6" s="9">
        <v>2500</v>
      </c>
      <c r="R6" s="42">
        <v>1.2500000000000001E-2</v>
      </c>
      <c r="S6" s="58">
        <v>1.2500000000000001E-2</v>
      </c>
    </row>
    <row r="7" spans="1:20" ht="15" customHeight="1" x14ac:dyDescent="0.3">
      <c r="A7" s="2" t="s">
        <v>4</v>
      </c>
      <c r="B7" s="3">
        <f>SUM('FE Sales YR 2'!N7)</f>
        <v>2</v>
      </c>
      <c r="C7" s="3">
        <v>2</v>
      </c>
      <c r="D7" s="3">
        <v>2</v>
      </c>
      <c r="E7" s="3">
        <v>2</v>
      </c>
      <c r="F7" s="3">
        <v>2</v>
      </c>
      <c r="G7" s="3">
        <v>2</v>
      </c>
      <c r="H7" s="88">
        <v>3</v>
      </c>
      <c r="I7" s="23">
        <v>3</v>
      </c>
      <c r="J7" s="23">
        <v>3</v>
      </c>
      <c r="K7" s="23">
        <v>3</v>
      </c>
      <c r="L7" s="23">
        <v>3</v>
      </c>
      <c r="M7" s="23">
        <v>3</v>
      </c>
      <c r="N7" s="17">
        <f t="shared" si="0"/>
        <v>3</v>
      </c>
      <c r="O7" s="72"/>
      <c r="P7" s="87" t="s">
        <v>4</v>
      </c>
      <c r="Q7" s="9">
        <v>0</v>
      </c>
      <c r="R7" s="42">
        <v>0.01</v>
      </c>
      <c r="S7" s="42">
        <v>0.01</v>
      </c>
    </row>
    <row r="8" spans="1:20" ht="15" customHeight="1" x14ac:dyDescent="0.3">
      <c r="A8" s="2" t="s">
        <v>3</v>
      </c>
      <c r="B8" s="3">
        <v>6</v>
      </c>
      <c r="C8" s="3">
        <v>6</v>
      </c>
      <c r="D8" s="3">
        <v>6</v>
      </c>
      <c r="E8" s="3">
        <v>6</v>
      </c>
      <c r="F8" s="3">
        <v>6</v>
      </c>
      <c r="G8" s="3">
        <v>6</v>
      </c>
      <c r="H8" s="86">
        <v>6</v>
      </c>
      <c r="I8" s="3">
        <v>6</v>
      </c>
      <c r="J8" s="3">
        <v>6</v>
      </c>
      <c r="K8" s="3">
        <v>6</v>
      </c>
      <c r="L8" s="3">
        <v>6</v>
      </c>
      <c r="M8" s="3">
        <v>6</v>
      </c>
      <c r="N8" s="17">
        <f t="shared" si="0"/>
        <v>6</v>
      </c>
      <c r="O8" s="72"/>
      <c r="P8" s="85" t="s">
        <v>3</v>
      </c>
      <c r="Q8" s="9">
        <v>2000</v>
      </c>
      <c r="R8" s="42">
        <v>0.04</v>
      </c>
      <c r="S8" s="42">
        <v>0.5</v>
      </c>
    </row>
    <row r="9" spans="1:20" ht="15" customHeight="1" x14ac:dyDescent="0.3">
      <c r="A9" s="2" t="s">
        <v>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8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17">
        <f t="shared" si="0"/>
        <v>0</v>
      </c>
      <c r="O9" s="72"/>
      <c r="P9" s="84" t="s">
        <v>5</v>
      </c>
      <c r="Q9" s="9">
        <v>0</v>
      </c>
      <c r="R9" s="42">
        <v>0.02</v>
      </c>
      <c r="S9" s="42">
        <v>0.05</v>
      </c>
    </row>
    <row r="10" spans="1:20" ht="15" customHeight="1" x14ac:dyDescent="0.3">
      <c r="A10" s="6" t="s">
        <v>8</v>
      </c>
      <c r="B10" s="8">
        <f t="shared" ref="B10:N10" si="1">SUM(B5:B9)</f>
        <v>16</v>
      </c>
      <c r="C10" s="8">
        <f t="shared" si="1"/>
        <v>16</v>
      </c>
      <c r="D10" s="8">
        <f t="shared" si="1"/>
        <v>16</v>
      </c>
      <c r="E10" s="8">
        <f t="shared" si="1"/>
        <v>16</v>
      </c>
      <c r="F10" s="8">
        <f t="shared" si="1"/>
        <v>16</v>
      </c>
      <c r="G10" s="8">
        <f t="shared" si="1"/>
        <v>16</v>
      </c>
      <c r="H10" s="8">
        <f t="shared" si="1"/>
        <v>18</v>
      </c>
      <c r="I10" s="8">
        <f t="shared" si="1"/>
        <v>18</v>
      </c>
      <c r="J10" s="8">
        <f t="shared" si="1"/>
        <v>18</v>
      </c>
      <c r="K10" s="8">
        <f t="shared" si="1"/>
        <v>18</v>
      </c>
      <c r="L10" s="8">
        <f t="shared" si="1"/>
        <v>18</v>
      </c>
      <c r="M10" s="8">
        <f t="shared" si="1"/>
        <v>18</v>
      </c>
      <c r="N10" s="17">
        <f t="shared" si="1"/>
        <v>18</v>
      </c>
      <c r="R10" s="75">
        <f>SUM(R5:R9)</f>
        <v>0.10250000000000001</v>
      </c>
      <c r="S10" s="75">
        <f>SUM(S5:S9)</f>
        <v>0.59250000000000003</v>
      </c>
    </row>
    <row r="11" spans="1:20" ht="15" customHeight="1" x14ac:dyDescent="0.3"/>
    <row r="12" spans="1:20" ht="15" customHeight="1" x14ac:dyDescent="0.3">
      <c r="A12" s="12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4" t="s">
        <v>25</v>
      </c>
    </row>
    <row r="13" spans="1:20" ht="15" customHeight="1" x14ac:dyDescent="0.3">
      <c r="A13" s="2" t="s">
        <v>34</v>
      </c>
      <c r="B13" s="14">
        <f t="shared" ref="B13:M13" si="2">B8*$Q$13*$Q$14</f>
        <v>29850</v>
      </c>
      <c r="C13" s="14">
        <f t="shared" si="2"/>
        <v>29850</v>
      </c>
      <c r="D13" s="14">
        <f t="shared" si="2"/>
        <v>29850</v>
      </c>
      <c r="E13" s="14">
        <f t="shared" si="2"/>
        <v>29850</v>
      </c>
      <c r="F13" s="14">
        <f t="shared" si="2"/>
        <v>29850</v>
      </c>
      <c r="G13" s="14">
        <f t="shared" si="2"/>
        <v>29850</v>
      </c>
      <c r="H13" s="14">
        <f>H8*$Q$13*$Q$14*60%</f>
        <v>17910</v>
      </c>
      <c r="I13" s="14">
        <f>I8*$Q$13*$Q$14*85%</f>
        <v>25372.5</v>
      </c>
      <c r="J13" s="14">
        <f t="shared" si="2"/>
        <v>29850</v>
      </c>
      <c r="K13" s="14">
        <f t="shared" si="2"/>
        <v>29850</v>
      </c>
      <c r="L13" s="14">
        <f t="shared" si="2"/>
        <v>29850</v>
      </c>
      <c r="M13" s="14">
        <f t="shared" si="2"/>
        <v>29850</v>
      </c>
      <c r="N13" s="18">
        <f>SUM(B13:M13)</f>
        <v>341782.5</v>
      </c>
      <c r="P13" s="3" t="s">
        <v>23</v>
      </c>
      <c r="Q13" s="9">
        <v>5</v>
      </c>
    </row>
    <row r="14" spans="1:20" ht="15" customHeight="1" x14ac:dyDescent="0.3">
      <c r="A14" s="2" t="s">
        <v>7</v>
      </c>
      <c r="B14" s="14">
        <f t="shared" ref="B14:M14" si="3">B8*$Q$13*$Q$15*$Q$16*$Q$17</f>
        <v>708000</v>
      </c>
      <c r="C14" s="14">
        <f t="shared" si="3"/>
        <v>708000</v>
      </c>
      <c r="D14" s="14">
        <f t="shared" si="3"/>
        <v>708000</v>
      </c>
      <c r="E14" s="14">
        <f t="shared" si="3"/>
        <v>708000</v>
      </c>
      <c r="F14" s="14">
        <f t="shared" si="3"/>
        <v>708000</v>
      </c>
      <c r="G14" s="14">
        <f t="shared" si="3"/>
        <v>708000</v>
      </c>
      <c r="H14" s="14">
        <f>H8*$Q$13*$Q$15*$Q$16*$Q$17*60%</f>
        <v>424800</v>
      </c>
      <c r="I14" s="14">
        <f>I8*$Q$13*$Q$15*$Q$16*$Q$17*85%</f>
        <v>601800</v>
      </c>
      <c r="J14" s="14">
        <f t="shared" si="3"/>
        <v>708000</v>
      </c>
      <c r="K14" s="14">
        <f t="shared" si="3"/>
        <v>708000</v>
      </c>
      <c r="L14" s="14">
        <f t="shared" si="3"/>
        <v>708000</v>
      </c>
      <c r="M14" s="14">
        <f t="shared" si="3"/>
        <v>708000</v>
      </c>
      <c r="N14" s="18">
        <f>SUM(B14:M14)</f>
        <v>8106600</v>
      </c>
      <c r="P14" s="3" t="s">
        <v>28</v>
      </c>
      <c r="Q14" s="9">
        <v>995</v>
      </c>
    </row>
    <row r="15" spans="1:20" ht="15" customHeight="1" x14ac:dyDescent="0.3">
      <c r="A15" s="6" t="s">
        <v>8</v>
      </c>
      <c r="B15" s="15">
        <f t="shared" ref="B15:N15" si="4">SUM(B13:B14)</f>
        <v>737850</v>
      </c>
      <c r="C15" s="15">
        <f t="shared" si="4"/>
        <v>737850</v>
      </c>
      <c r="D15" s="15">
        <f t="shared" si="4"/>
        <v>737850</v>
      </c>
      <c r="E15" s="15">
        <f t="shared" si="4"/>
        <v>737850</v>
      </c>
      <c r="F15" s="15">
        <f t="shared" si="4"/>
        <v>737850</v>
      </c>
      <c r="G15" s="15">
        <f t="shared" si="4"/>
        <v>737850</v>
      </c>
      <c r="H15" s="15">
        <f t="shared" si="4"/>
        <v>442710</v>
      </c>
      <c r="I15" s="15">
        <f t="shared" si="4"/>
        <v>627172.5</v>
      </c>
      <c r="J15" s="15">
        <f t="shared" si="4"/>
        <v>737850</v>
      </c>
      <c r="K15" s="15">
        <f t="shared" si="4"/>
        <v>737850</v>
      </c>
      <c r="L15" s="15">
        <f t="shared" si="4"/>
        <v>737850</v>
      </c>
      <c r="M15" s="15">
        <f t="shared" si="4"/>
        <v>737850</v>
      </c>
      <c r="N15" s="18">
        <f t="shared" si="4"/>
        <v>8448382.5</v>
      </c>
      <c r="P15" s="3" t="s">
        <v>24</v>
      </c>
      <c r="Q15" s="16">
        <v>0.5</v>
      </c>
    </row>
    <row r="16" spans="1:20" ht="15" customHeight="1" x14ac:dyDescent="0.3">
      <c r="P16" s="3" t="s">
        <v>26</v>
      </c>
      <c r="Q16" s="9">
        <v>160</v>
      </c>
    </row>
    <row r="17" spans="1:18" ht="15" customHeight="1" x14ac:dyDescent="0.3">
      <c r="A17" s="10" t="s">
        <v>9</v>
      </c>
      <c r="P17" s="3" t="s">
        <v>27</v>
      </c>
      <c r="Q17" s="9">
        <v>295</v>
      </c>
    </row>
    <row r="18" spans="1:18" ht="15" customHeight="1" x14ac:dyDescent="0.3">
      <c r="A18" s="2" t="s">
        <v>10</v>
      </c>
      <c r="B18" s="14">
        <f t="shared" ref="B18:M18" si="5">B5*$Q$5+B6*$Q$6+C7*$Q$7+B8*$Q$8+B9*$Q$9+B13*S5+B13*S6+B13*S7+B13*S8+B13*S9</f>
        <v>49686.125</v>
      </c>
      <c r="C18" s="14">
        <f t="shared" si="5"/>
        <v>32000</v>
      </c>
      <c r="D18" s="14">
        <f t="shared" si="5"/>
        <v>32000</v>
      </c>
      <c r="E18" s="14">
        <f t="shared" si="5"/>
        <v>32000</v>
      </c>
      <c r="F18" s="14">
        <f t="shared" si="5"/>
        <v>32000</v>
      </c>
      <c r="G18" s="14">
        <f t="shared" si="5"/>
        <v>32000</v>
      </c>
      <c r="H18" s="14">
        <f t="shared" si="5"/>
        <v>34500</v>
      </c>
      <c r="I18" s="14">
        <f t="shared" si="5"/>
        <v>34500</v>
      </c>
      <c r="J18" s="14">
        <f t="shared" si="5"/>
        <v>34500</v>
      </c>
      <c r="K18" s="14">
        <f t="shared" si="5"/>
        <v>34500</v>
      </c>
      <c r="L18" s="14">
        <f t="shared" si="5"/>
        <v>34500</v>
      </c>
      <c r="M18" s="14">
        <f t="shared" si="5"/>
        <v>34500</v>
      </c>
      <c r="N18" s="18">
        <f>SUM(B18:M18)</f>
        <v>416686.125</v>
      </c>
      <c r="P18" s="19" t="s">
        <v>36</v>
      </c>
      <c r="Q18" s="23">
        <f>IF(Q13&gt;5,(Q13-4)*300,0)</f>
        <v>0</v>
      </c>
    </row>
    <row r="19" spans="1:18" ht="15" customHeight="1" x14ac:dyDescent="0.3">
      <c r="A19" s="2" t="s">
        <v>38</v>
      </c>
      <c r="B19" s="14">
        <f t="shared" ref="B19:M19" si="6">IF(B5&gt;0,$R$5*B$14,0)</f>
        <v>0</v>
      </c>
      <c r="C19" s="14">
        <f t="shared" si="6"/>
        <v>0</v>
      </c>
      <c r="D19" s="14">
        <f t="shared" si="6"/>
        <v>0</v>
      </c>
      <c r="E19" s="14">
        <f t="shared" si="6"/>
        <v>0</v>
      </c>
      <c r="F19" s="14">
        <f t="shared" si="6"/>
        <v>0</v>
      </c>
      <c r="G19" s="14">
        <f t="shared" si="6"/>
        <v>0</v>
      </c>
      <c r="H19" s="14">
        <f t="shared" si="6"/>
        <v>0</v>
      </c>
      <c r="I19" s="14">
        <f t="shared" si="6"/>
        <v>0</v>
      </c>
      <c r="J19" s="14">
        <f t="shared" si="6"/>
        <v>0</v>
      </c>
      <c r="K19" s="14">
        <f t="shared" si="6"/>
        <v>0</v>
      </c>
      <c r="L19" s="14">
        <f t="shared" si="6"/>
        <v>0</v>
      </c>
      <c r="M19" s="14">
        <f t="shared" si="6"/>
        <v>0</v>
      </c>
      <c r="N19" s="18">
        <f t="shared" ref="N19:N33" si="7">SUM(B19:M19)</f>
        <v>0</v>
      </c>
      <c r="P19" s="19" t="s">
        <v>37</v>
      </c>
      <c r="Q19" s="23">
        <f>IF($Q$14&gt;995,($Q$14-995)*0.5*$Q$13,0)</f>
        <v>0</v>
      </c>
    </row>
    <row r="20" spans="1:18" ht="15" customHeight="1" x14ac:dyDescent="0.3">
      <c r="A20" s="2" t="s">
        <v>39</v>
      </c>
      <c r="B20" s="14">
        <f t="shared" ref="B20:M20" si="8">IF(B8&gt;0,B8*$Q$18+B8*$Q$19,0)</f>
        <v>0</v>
      </c>
      <c r="C20" s="14">
        <f t="shared" si="8"/>
        <v>0</v>
      </c>
      <c r="D20" s="14">
        <f t="shared" si="8"/>
        <v>0</v>
      </c>
      <c r="E20" s="14">
        <f t="shared" si="8"/>
        <v>0</v>
      </c>
      <c r="F20" s="14">
        <f t="shared" si="8"/>
        <v>0</v>
      </c>
      <c r="G20" s="14">
        <f t="shared" si="8"/>
        <v>0</v>
      </c>
      <c r="H20" s="14">
        <f t="shared" si="8"/>
        <v>0</v>
      </c>
      <c r="I20" s="14">
        <f t="shared" si="8"/>
        <v>0</v>
      </c>
      <c r="J20" s="14">
        <f t="shared" si="8"/>
        <v>0</v>
      </c>
      <c r="K20" s="14">
        <f t="shared" si="8"/>
        <v>0</v>
      </c>
      <c r="L20" s="14">
        <f t="shared" si="8"/>
        <v>0</v>
      </c>
      <c r="M20" s="14">
        <f t="shared" si="8"/>
        <v>0</v>
      </c>
      <c r="N20" s="18">
        <f t="shared" si="7"/>
        <v>0</v>
      </c>
      <c r="P20" s="24"/>
      <c r="Q20" s="24"/>
      <c r="R20" s="25"/>
    </row>
    <row r="21" spans="1:18" ht="15" customHeight="1" x14ac:dyDescent="0.3">
      <c r="A21" s="2" t="s">
        <v>47</v>
      </c>
      <c r="B21" s="14">
        <f t="shared" ref="B21:M21" si="9">SUM(B13)*$S10</f>
        <v>17686.125</v>
      </c>
      <c r="C21" s="14">
        <f t="shared" si="9"/>
        <v>17686.125</v>
      </c>
      <c r="D21" s="14">
        <f t="shared" si="9"/>
        <v>17686.125</v>
      </c>
      <c r="E21" s="14">
        <f t="shared" si="9"/>
        <v>17686.125</v>
      </c>
      <c r="F21" s="14">
        <f t="shared" si="9"/>
        <v>17686.125</v>
      </c>
      <c r="G21" s="14">
        <f t="shared" si="9"/>
        <v>17686.125</v>
      </c>
      <c r="H21" s="14">
        <f t="shared" si="9"/>
        <v>10611.675000000001</v>
      </c>
      <c r="I21" s="14">
        <f t="shared" si="9"/>
        <v>15033.206250000001</v>
      </c>
      <c r="J21" s="14">
        <f t="shared" si="9"/>
        <v>17686.125</v>
      </c>
      <c r="K21" s="14">
        <f t="shared" si="9"/>
        <v>17686.125</v>
      </c>
      <c r="L21" s="14">
        <f t="shared" si="9"/>
        <v>17686.125</v>
      </c>
      <c r="M21" s="14">
        <f t="shared" si="9"/>
        <v>17686.125</v>
      </c>
      <c r="N21" s="18">
        <f>SUM(B21:M21)</f>
        <v>202506.13125000001</v>
      </c>
    </row>
    <row r="22" spans="1:18" ht="15" customHeight="1" x14ac:dyDescent="0.3">
      <c r="A22" s="2" t="s">
        <v>29</v>
      </c>
      <c r="B22" s="14">
        <f>(B18+B19+B20)*0.0765</f>
        <v>3800.9885624999997</v>
      </c>
      <c r="C22" s="14">
        <f t="shared" ref="C22:M22" si="10">(C18+C19+C20)*0.0765</f>
        <v>2448</v>
      </c>
      <c r="D22" s="14">
        <f t="shared" si="10"/>
        <v>2448</v>
      </c>
      <c r="E22" s="14">
        <f t="shared" si="10"/>
        <v>2448</v>
      </c>
      <c r="F22" s="14">
        <f t="shared" si="10"/>
        <v>2448</v>
      </c>
      <c r="G22" s="14">
        <f t="shared" si="10"/>
        <v>2448</v>
      </c>
      <c r="H22" s="14">
        <f t="shared" si="10"/>
        <v>2639.25</v>
      </c>
      <c r="I22" s="14">
        <f t="shared" si="10"/>
        <v>2639.25</v>
      </c>
      <c r="J22" s="14">
        <f t="shared" si="10"/>
        <v>2639.25</v>
      </c>
      <c r="K22" s="14">
        <f t="shared" si="10"/>
        <v>2639.25</v>
      </c>
      <c r="L22" s="14">
        <f t="shared" si="10"/>
        <v>2639.25</v>
      </c>
      <c r="M22" s="14">
        <f t="shared" si="10"/>
        <v>2639.25</v>
      </c>
      <c r="N22" s="18">
        <f t="shared" si="7"/>
        <v>31876.488562499999</v>
      </c>
    </row>
    <row r="23" spans="1:18" ht="15" customHeight="1" x14ac:dyDescent="0.3">
      <c r="A23" s="2" t="s">
        <v>63</v>
      </c>
      <c r="B23" s="14">
        <f t="shared" ref="B23:M23" si="11">SUM(B10)*700</f>
        <v>11200</v>
      </c>
      <c r="C23" s="14">
        <f t="shared" si="11"/>
        <v>11200</v>
      </c>
      <c r="D23" s="14">
        <f t="shared" si="11"/>
        <v>11200</v>
      </c>
      <c r="E23" s="14">
        <f t="shared" si="11"/>
        <v>11200</v>
      </c>
      <c r="F23" s="14">
        <f t="shared" si="11"/>
        <v>11200</v>
      </c>
      <c r="G23" s="14">
        <f t="shared" si="11"/>
        <v>11200</v>
      </c>
      <c r="H23" s="14">
        <f t="shared" si="11"/>
        <v>12600</v>
      </c>
      <c r="I23" s="14">
        <f t="shared" si="11"/>
        <v>12600</v>
      </c>
      <c r="J23" s="14">
        <f t="shared" si="11"/>
        <v>12600</v>
      </c>
      <c r="K23" s="14">
        <f t="shared" si="11"/>
        <v>12600</v>
      </c>
      <c r="L23" s="14">
        <f t="shared" si="11"/>
        <v>12600</v>
      </c>
      <c r="M23" s="14">
        <f t="shared" si="11"/>
        <v>12600</v>
      </c>
      <c r="N23" s="61">
        <f>SUM(B23:M23)</f>
        <v>142800</v>
      </c>
    </row>
    <row r="24" spans="1:18" ht="15" customHeight="1" x14ac:dyDescent="0.3">
      <c r="A24" s="2" t="s">
        <v>64</v>
      </c>
      <c r="B24" s="14">
        <f>SUM(B18:B21)*3%</f>
        <v>2021.1675</v>
      </c>
      <c r="C24" s="14">
        <f t="shared" ref="C24:L24" si="12">SUM(C18:C21)*3%</f>
        <v>1490.58375</v>
      </c>
      <c r="D24" s="14">
        <f t="shared" si="12"/>
        <v>1490.58375</v>
      </c>
      <c r="E24" s="14">
        <f t="shared" si="12"/>
        <v>1490.58375</v>
      </c>
      <c r="F24" s="14">
        <f t="shared" si="12"/>
        <v>1490.58375</v>
      </c>
      <c r="G24" s="14">
        <f t="shared" si="12"/>
        <v>1490.58375</v>
      </c>
      <c r="H24" s="14">
        <f>SUM(H18:H21)*3%</f>
        <v>1353.35025</v>
      </c>
      <c r="I24" s="14">
        <f t="shared" si="12"/>
        <v>1485.9961875000001</v>
      </c>
      <c r="J24" s="14">
        <f t="shared" si="12"/>
        <v>1565.58375</v>
      </c>
      <c r="K24" s="14">
        <f t="shared" si="12"/>
        <v>1565.58375</v>
      </c>
      <c r="L24" s="14">
        <f t="shared" si="12"/>
        <v>1565.58375</v>
      </c>
      <c r="M24" s="14">
        <f>SUM(M18:M21)*3%</f>
        <v>1565.58375</v>
      </c>
      <c r="N24" s="61">
        <f>SUM(B24:M24)</f>
        <v>18575.767687500003</v>
      </c>
    </row>
    <row r="25" spans="1:18" ht="15" customHeight="1" x14ac:dyDescent="0.3">
      <c r="A25" s="2" t="s">
        <v>11</v>
      </c>
      <c r="B25" s="14">
        <v>800</v>
      </c>
      <c r="C25" s="14">
        <v>800</v>
      </c>
      <c r="D25" s="14">
        <f t="shared" ref="D25:M25" si="13">SUM(500*D8)</f>
        <v>3000</v>
      </c>
      <c r="E25" s="14">
        <f t="shared" si="13"/>
        <v>3000</v>
      </c>
      <c r="F25" s="14">
        <f t="shared" si="13"/>
        <v>3000</v>
      </c>
      <c r="G25" s="14">
        <f t="shared" si="13"/>
        <v>3000</v>
      </c>
      <c r="H25" s="14">
        <f t="shared" si="13"/>
        <v>3000</v>
      </c>
      <c r="I25" s="14">
        <f t="shared" si="13"/>
        <v>3000</v>
      </c>
      <c r="J25" s="14">
        <f t="shared" si="13"/>
        <v>3000</v>
      </c>
      <c r="K25" s="14">
        <f t="shared" si="13"/>
        <v>3000</v>
      </c>
      <c r="L25" s="14">
        <f t="shared" si="13"/>
        <v>3000</v>
      </c>
      <c r="M25" s="14">
        <f t="shared" si="13"/>
        <v>3000</v>
      </c>
      <c r="N25" s="18">
        <f t="shared" si="7"/>
        <v>31600</v>
      </c>
    </row>
    <row r="26" spans="1:18" ht="15" customHeight="1" x14ac:dyDescent="0.3">
      <c r="A26" s="2" t="s">
        <v>12</v>
      </c>
      <c r="B26" s="14">
        <f>39*B10+39</f>
        <v>663</v>
      </c>
      <c r="C26" s="14">
        <f t="shared" ref="C26:M26" si="14">39*C10</f>
        <v>624</v>
      </c>
      <c r="D26" s="14">
        <f t="shared" si="14"/>
        <v>624</v>
      </c>
      <c r="E26" s="14">
        <f t="shared" si="14"/>
        <v>624</v>
      </c>
      <c r="F26" s="14">
        <f t="shared" si="14"/>
        <v>624</v>
      </c>
      <c r="G26" s="14">
        <f t="shared" si="14"/>
        <v>624</v>
      </c>
      <c r="H26" s="14">
        <f t="shared" si="14"/>
        <v>702</v>
      </c>
      <c r="I26" s="14">
        <f t="shared" si="14"/>
        <v>702</v>
      </c>
      <c r="J26" s="14">
        <f t="shared" si="14"/>
        <v>702</v>
      </c>
      <c r="K26" s="14">
        <f t="shared" si="14"/>
        <v>702</v>
      </c>
      <c r="L26" s="14">
        <f t="shared" si="14"/>
        <v>702</v>
      </c>
      <c r="M26" s="14">
        <f t="shared" si="14"/>
        <v>702</v>
      </c>
      <c r="N26" s="18">
        <f t="shared" si="7"/>
        <v>7995</v>
      </c>
    </row>
    <row r="27" spans="1:18" ht="15" customHeight="1" x14ac:dyDescent="0.3">
      <c r="A27" s="2" t="s">
        <v>84</v>
      </c>
      <c r="B27" s="14">
        <f t="shared" ref="B27:M27" si="15">SUM(28*B6)+(52*B7)+52</f>
        <v>380</v>
      </c>
      <c r="C27" s="14">
        <f t="shared" si="15"/>
        <v>380</v>
      </c>
      <c r="D27" s="14">
        <f t="shared" si="15"/>
        <v>380</v>
      </c>
      <c r="E27" s="14">
        <f t="shared" si="15"/>
        <v>380</v>
      </c>
      <c r="F27" s="14">
        <f t="shared" si="15"/>
        <v>380</v>
      </c>
      <c r="G27" s="14">
        <f t="shared" si="15"/>
        <v>380</v>
      </c>
      <c r="H27" s="14">
        <f t="shared" si="15"/>
        <v>460</v>
      </c>
      <c r="I27" s="14">
        <f t="shared" si="15"/>
        <v>460</v>
      </c>
      <c r="J27" s="14">
        <f t="shared" si="15"/>
        <v>460</v>
      </c>
      <c r="K27" s="14">
        <f t="shared" si="15"/>
        <v>460</v>
      </c>
      <c r="L27" s="14">
        <f t="shared" si="15"/>
        <v>460</v>
      </c>
      <c r="M27" s="14">
        <f t="shared" si="15"/>
        <v>460</v>
      </c>
      <c r="N27" s="18">
        <f t="shared" si="7"/>
        <v>5040</v>
      </c>
      <c r="P27" s="27"/>
    </row>
    <row r="28" spans="1:18" ht="15" customHeight="1" x14ac:dyDescent="0.3">
      <c r="A28" s="2" t="s">
        <v>13</v>
      </c>
      <c r="B28" s="14">
        <v>850</v>
      </c>
      <c r="C28" s="14">
        <v>850</v>
      </c>
      <c r="D28" s="14">
        <v>850</v>
      </c>
      <c r="E28" s="14">
        <v>850</v>
      </c>
      <c r="F28" s="14">
        <v>850</v>
      </c>
      <c r="G28" s="14">
        <v>850</v>
      </c>
      <c r="H28" s="14">
        <v>850</v>
      </c>
      <c r="I28" s="14">
        <v>850</v>
      </c>
      <c r="J28" s="14">
        <v>850</v>
      </c>
      <c r="K28" s="14">
        <v>850</v>
      </c>
      <c r="L28" s="14">
        <v>850</v>
      </c>
      <c r="M28" s="14">
        <v>850</v>
      </c>
      <c r="N28" s="18">
        <f t="shared" si="7"/>
        <v>10200</v>
      </c>
      <c r="P28" s="27"/>
    </row>
    <row r="29" spans="1:18" ht="15" customHeight="1" x14ac:dyDescent="0.3">
      <c r="A29" s="2" t="s">
        <v>14</v>
      </c>
      <c r="B29" s="14">
        <f>SUM(B8*500)</f>
        <v>3000</v>
      </c>
      <c r="C29" s="14">
        <v>1800</v>
      </c>
      <c r="D29" s="14">
        <v>1800</v>
      </c>
      <c r="E29" s="14">
        <f t="shared" ref="E29:M29" si="16">SUM(E8*750)</f>
        <v>4500</v>
      </c>
      <c r="F29" s="14">
        <f t="shared" si="16"/>
        <v>4500</v>
      </c>
      <c r="G29" s="14">
        <f t="shared" si="16"/>
        <v>4500</v>
      </c>
      <c r="H29" s="14">
        <f t="shared" si="16"/>
        <v>4500</v>
      </c>
      <c r="I29" s="14">
        <f t="shared" si="16"/>
        <v>4500</v>
      </c>
      <c r="J29" s="14">
        <f t="shared" si="16"/>
        <v>4500</v>
      </c>
      <c r="K29" s="14">
        <f t="shared" si="16"/>
        <v>4500</v>
      </c>
      <c r="L29" s="14">
        <f t="shared" si="16"/>
        <v>4500</v>
      </c>
      <c r="M29" s="14">
        <f t="shared" si="16"/>
        <v>4500</v>
      </c>
      <c r="N29" s="18">
        <f t="shared" si="7"/>
        <v>47100</v>
      </c>
    </row>
    <row r="30" spans="1:18" ht="15" customHeight="1" x14ac:dyDescent="0.3">
      <c r="A30" s="2" t="s">
        <v>15</v>
      </c>
      <c r="B30" s="14">
        <f t="shared" ref="B30:M30" si="17">500*B8</f>
        <v>3000</v>
      </c>
      <c r="C30" s="14">
        <f t="shared" si="17"/>
        <v>3000</v>
      </c>
      <c r="D30" s="14">
        <f t="shared" si="17"/>
        <v>3000</v>
      </c>
      <c r="E30" s="14">
        <f t="shared" si="17"/>
        <v>3000</v>
      </c>
      <c r="F30" s="14">
        <f t="shared" si="17"/>
        <v>3000</v>
      </c>
      <c r="G30" s="14">
        <f t="shared" si="17"/>
        <v>3000</v>
      </c>
      <c r="H30" s="14">
        <f t="shared" si="17"/>
        <v>3000</v>
      </c>
      <c r="I30" s="14">
        <f t="shared" si="17"/>
        <v>3000</v>
      </c>
      <c r="J30" s="14">
        <f t="shared" si="17"/>
        <v>3000</v>
      </c>
      <c r="K30" s="14">
        <f t="shared" si="17"/>
        <v>3000</v>
      </c>
      <c r="L30" s="14">
        <f t="shared" si="17"/>
        <v>3000</v>
      </c>
      <c r="M30" s="14">
        <f t="shared" si="17"/>
        <v>3000</v>
      </c>
      <c r="N30" s="18">
        <f t="shared" si="7"/>
        <v>36000</v>
      </c>
    </row>
    <row r="31" spans="1:18" ht="15" customHeight="1" x14ac:dyDescent="0.3">
      <c r="A31" s="2" t="s">
        <v>16</v>
      </c>
      <c r="B31" s="14">
        <f t="shared" ref="B31:M31" si="18">600*B8</f>
        <v>3600</v>
      </c>
      <c r="C31" s="14">
        <f t="shared" si="18"/>
        <v>3600</v>
      </c>
      <c r="D31" s="14">
        <f t="shared" si="18"/>
        <v>3600</v>
      </c>
      <c r="E31" s="14">
        <f t="shared" si="18"/>
        <v>3600</v>
      </c>
      <c r="F31" s="14">
        <f t="shared" si="18"/>
        <v>3600</v>
      </c>
      <c r="G31" s="14">
        <f t="shared" si="18"/>
        <v>3600</v>
      </c>
      <c r="H31" s="14">
        <f t="shared" si="18"/>
        <v>3600</v>
      </c>
      <c r="I31" s="14">
        <f t="shared" si="18"/>
        <v>3600</v>
      </c>
      <c r="J31" s="14">
        <f t="shared" si="18"/>
        <v>3600</v>
      </c>
      <c r="K31" s="14">
        <f t="shared" si="18"/>
        <v>3600</v>
      </c>
      <c r="L31" s="14">
        <f t="shared" si="18"/>
        <v>3600</v>
      </c>
      <c r="M31" s="14">
        <f t="shared" si="18"/>
        <v>3600</v>
      </c>
      <c r="N31" s="18">
        <f t="shared" si="7"/>
        <v>43200</v>
      </c>
    </row>
    <row r="32" spans="1:18" ht="15" customHeight="1" x14ac:dyDescent="0.3">
      <c r="A32" s="2" t="s">
        <v>17</v>
      </c>
      <c r="B32" s="14">
        <f t="shared" ref="B32:M32" si="19">25*B8</f>
        <v>150</v>
      </c>
      <c r="C32" s="14">
        <f t="shared" si="19"/>
        <v>150</v>
      </c>
      <c r="D32" s="14">
        <f t="shared" si="19"/>
        <v>150</v>
      </c>
      <c r="E32" s="14">
        <f t="shared" si="19"/>
        <v>150</v>
      </c>
      <c r="F32" s="14">
        <f t="shared" si="19"/>
        <v>150</v>
      </c>
      <c r="G32" s="14">
        <f t="shared" si="19"/>
        <v>150</v>
      </c>
      <c r="H32" s="14">
        <f t="shared" si="19"/>
        <v>150</v>
      </c>
      <c r="I32" s="14">
        <f t="shared" si="19"/>
        <v>150</v>
      </c>
      <c r="J32" s="14">
        <f t="shared" si="19"/>
        <v>150</v>
      </c>
      <c r="K32" s="14">
        <f t="shared" si="19"/>
        <v>150</v>
      </c>
      <c r="L32" s="14">
        <f t="shared" si="19"/>
        <v>150</v>
      </c>
      <c r="M32" s="14">
        <f t="shared" si="19"/>
        <v>150</v>
      </c>
      <c r="N32" s="18">
        <f t="shared" si="7"/>
        <v>1800</v>
      </c>
    </row>
    <row r="33" spans="1:15" ht="15" customHeight="1" x14ac:dyDescent="0.3">
      <c r="A33" s="2" t="s">
        <v>40</v>
      </c>
      <c r="B33" s="14">
        <f t="shared" ref="B33:M33" si="20">1800*B8</f>
        <v>10800</v>
      </c>
      <c r="C33" s="14">
        <f t="shared" si="20"/>
        <v>10800</v>
      </c>
      <c r="D33" s="14">
        <f t="shared" si="20"/>
        <v>10800</v>
      </c>
      <c r="E33" s="14">
        <f t="shared" si="20"/>
        <v>10800</v>
      </c>
      <c r="F33" s="14">
        <f t="shared" si="20"/>
        <v>10800</v>
      </c>
      <c r="G33" s="14">
        <f t="shared" si="20"/>
        <v>10800</v>
      </c>
      <c r="H33" s="14">
        <f t="shared" si="20"/>
        <v>10800</v>
      </c>
      <c r="I33" s="14">
        <f t="shared" si="20"/>
        <v>10800</v>
      </c>
      <c r="J33" s="14">
        <f t="shared" si="20"/>
        <v>10800</v>
      </c>
      <c r="K33" s="14">
        <f t="shared" si="20"/>
        <v>10800</v>
      </c>
      <c r="L33" s="14">
        <f t="shared" si="20"/>
        <v>10800</v>
      </c>
      <c r="M33" s="14">
        <f t="shared" si="20"/>
        <v>10800</v>
      </c>
      <c r="N33" s="18">
        <f t="shared" si="7"/>
        <v>129600</v>
      </c>
    </row>
    <row r="34" spans="1:15" ht="15" customHeight="1" x14ac:dyDescent="0.3">
      <c r="A34" s="2" t="s">
        <v>54</v>
      </c>
      <c r="B34" s="14">
        <f t="shared" ref="B34:M34" si="21">SUM(B13*4%)</f>
        <v>1194</v>
      </c>
      <c r="C34" s="14">
        <f t="shared" si="21"/>
        <v>1194</v>
      </c>
      <c r="D34" s="14">
        <f t="shared" si="21"/>
        <v>1194</v>
      </c>
      <c r="E34" s="14">
        <f t="shared" si="21"/>
        <v>1194</v>
      </c>
      <c r="F34" s="14">
        <f t="shared" si="21"/>
        <v>1194</v>
      </c>
      <c r="G34" s="14">
        <f t="shared" si="21"/>
        <v>1194</v>
      </c>
      <c r="H34" s="14">
        <f t="shared" si="21"/>
        <v>716.4</v>
      </c>
      <c r="I34" s="14">
        <f t="shared" si="21"/>
        <v>1014.9</v>
      </c>
      <c r="J34" s="14">
        <f t="shared" si="21"/>
        <v>1194</v>
      </c>
      <c r="K34" s="14">
        <f t="shared" si="21"/>
        <v>1194</v>
      </c>
      <c r="L34" s="14">
        <f t="shared" si="21"/>
        <v>1194</v>
      </c>
      <c r="M34" s="14">
        <f t="shared" si="21"/>
        <v>1194</v>
      </c>
      <c r="N34" s="18">
        <f>SUM(B34:M34)</f>
        <v>13671.3</v>
      </c>
    </row>
    <row r="35" spans="1:15" ht="15" customHeight="1" x14ac:dyDescent="0.3">
      <c r="A35" s="82" t="s">
        <v>81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8"/>
    </row>
    <row r="36" spans="1:15" ht="15" customHeight="1" x14ac:dyDescent="0.3">
      <c r="A36" s="3" t="s">
        <v>82</v>
      </c>
      <c r="B36" s="14">
        <v>500</v>
      </c>
      <c r="C36" s="14">
        <f>SUM(C8)*50</f>
        <v>300</v>
      </c>
      <c r="D36" s="14">
        <f t="shared" ref="D36:M36" si="22">SUM(D8)*50</f>
        <v>300</v>
      </c>
      <c r="E36" s="14">
        <f t="shared" si="22"/>
        <v>300</v>
      </c>
      <c r="F36" s="14">
        <f t="shared" si="22"/>
        <v>300</v>
      </c>
      <c r="G36" s="14">
        <f t="shared" si="22"/>
        <v>300</v>
      </c>
      <c r="H36" s="14">
        <f t="shared" si="22"/>
        <v>300</v>
      </c>
      <c r="I36" s="14">
        <f t="shared" si="22"/>
        <v>300</v>
      </c>
      <c r="J36" s="14">
        <f t="shared" si="22"/>
        <v>300</v>
      </c>
      <c r="K36" s="14">
        <f t="shared" si="22"/>
        <v>300</v>
      </c>
      <c r="L36" s="14">
        <f t="shared" si="22"/>
        <v>300</v>
      </c>
      <c r="M36" s="14">
        <f t="shared" si="22"/>
        <v>300</v>
      </c>
      <c r="N36" s="15">
        <f t="shared" ref="N36:N37" si="23">SUM(B36:M36)</f>
        <v>3800</v>
      </c>
    </row>
    <row r="37" spans="1:15" ht="15" customHeight="1" x14ac:dyDescent="0.3">
      <c r="A37" s="3" t="s">
        <v>83</v>
      </c>
      <c r="B37" s="14"/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750</v>
      </c>
      <c r="I37" s="14">
        <v>0</v>
      </c>
      <c r="J37" s="14">
        <v>0</v>
      </c>
      <c r="K37" s="14">
        <v>0</v>
      </c>
      <c r="L37" s="14"/>
      <c r="M37" s="14"/>
      <c r="N37" s="15">
        <f t="shared" si="23"/>
        <v>750</v>
      </c>
    </row>
    <row r="38" spans="1:15" ht="15" customHeight="1" x14ac:dyDescent="0.3">
      <c r="A38" s="3" t="s">
        <v>85</v>
      </c>
      <c r="B38" s="14"/>
      <c r="C38" s="14">
        <f>SUM(C8*105)</f>
        <v>630</v>
      </c>
      <c r="D38" s="14">
        <v>0</v>
      </c>
      <c r="E38" s="14">
        <v>0</v>
      </c>
      <c r="F38" s="14">
        <v>0</v>
      </c>
      <c r="G38" s="14">
        <v>0</v>
      </c>
      <c r="H38" s="14">
        <f>SUM(H8*105)</f>
        <v>630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5">
        <f t="shared" ref="N38:N40" si="24">SUM(B38:M38)</f>
        <v>1260</v>
      </c>
    </row>
    <row r="39" spans="1:15" ht="15" customHeight="1" x14ac:dyDescent="0.3">
      <c r="A39" s="3" t="s">
        <v>86</v>
      </c>
      <c r="B39" s="14">
        <f>SUM(B9*56)</f>
        <v>0</v>
      </c>
      <c r="C39" s="14"/>
      <c r="D39" s="14"/>
      <c r="E39" s="14"/>
      <c r="F39" s="14"/>
      <c r="G39" s="14"/>
      <c r="H39" s="14">
        <f>SUM(H9*105)</f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5">
        <f t="shared" si="24"/>
        <v>0</v>
      </c>
    </row>
    <row r="40" spans="1:15" ht="15" customHeight="1" x14ac:dyDescent="0.3">
      <c r="A40" s="3" t="s">
        <v>87</v>
      </c>
      <c r="B40" s="14">
        <f>SUM(B5*105)</f>
        <v>0</v>
      </c>
      <c r="C40" s="14">
        <v>0</v>
      </c>
      <c r="D40" s="14">
        <v>0</v>
      </c>
      <c r="E40" s="14">
        <v>0</v>
      </c>
      <c r="F40" s="14">
        <v>0</v>
      </c>
      <c r="G40" s="93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5">
        <f t="shared" si="24"/>
        <v>0</v>
      </c>
    </row>
    <row r="41" spans="1:15" ht="15" customHeight="1" x14ac:dyDescent="0.3">
      <c r="A41" s="6" t="s">
        <v>8</v>
      </c>
      <c r="B41" s="15">
        <f t="shared" ref="B41:M41" si="25">SUM(B18:B34)</f>
        <v>108831.4060625</v>
      </c>
      <c r="C41" s="15">
        <f t="shared" si="25"/>
        <v>88022.708749999991</v>
      </c>
      <c r="D41" s="15">
        <f t="shared" si="25"/>
        <v>90222.708749999991</v>
      </c>
      <c r="E41" s="15">
        <f t="shared" si="25"/>
        <v>92922.708749999991</v>
      </c>
      <c r="F41" s="15">
        <f t="shared" si="25"/>
        <v>92922.708749999991</v>
      </c>
      <c r="G41" s="15">
        <f t="shared" si="25"/>
        <v>92922.708749999991</v>
      </c>
      <c r="H41" s="15">
        <f t="shared" si="25"/>
        <v>89482.67525</v>
      </c>
      <c r="I41" s="15">
        <f t="shared" si="25"/>
        <v>94335.352437499998</v>
      </c>
      <c r="J41" s="15">
        <f t="shared" si="25"/>
        <v>97246.958750000005</v>
      </c>
      <c r="K41" s="15">
        <f t="shared" si="25"/>
        <v>97246.958750000005</v>
      </c>
      <c r="L41" s="15">
        <f t="shared" si="25"/>
        <v>97246.958750000005</v>
      </c>
      <c r="M41" s="15">
        <f t="shared" si="25"/>
        <v>97246.958750000005</v>
      </c>
      <c r="N41" s="18">
        <f>SUM(B41:M41)</f>
        <v>1138650.8125</v>
      </c>
    </row>
    <row r="42" spans="1:15" ht="15" customHeight="1" x14ac:dyDescent="0.3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</row>
    <row r="43" spans="1:15" ht="15" customHeight="1" x14ac:dyDescent="0.3">
      <c r="A43" s="11" t="s">
        <v>33</v>
      </c>
      <c r="B43" s="15">
        <f t="shared" ref="B43:N43" si="26">B15-B41</f>
        <v>629018.59393750003</v>
      </c>
      <c r="C43" s="15">
        <f t="shared" si="26"/>
        <v>649827.29125000001</v>
      </c>
      <c r="D43" s="15">
        <f t="shared" si="26"/>
        <v>647627.29125000001</v>
      </c>
      <c r="E43" s="15">
        <f t="shared" si="26"/>
        <v>644927.29125000001</v>
      </c>
      <c r="F43" s="15">
        <f t="shared" si="26"/>
        <v>644927.29125000001</v>
      </c>
      <c r="G43" s="15">
        <f t="shared" si="26"/>
        <v>644927.29125000001</v>
      </c>
      <c r="H43" s="15">
        <f t="shared" si="26"/>
        <v>353227.32475000003</v>
      </c>
      <c r="I43" s="15">
        <f t="shared" si="26"/>
        <v>532837.14756249997</v>
      </c>
      <c r="J43" s="15">
        <f t="shared" si="26"/>
        <v>640603.04125000001</v>
      </c>
      <c r="K43" s="15">
        <f t="shared" si="26"/>
        <v>640603.04125000001</v>
      </c>
      <c r="L43" s="15">
        <f t="shared" si="26"/>
        <v>640603.04125000001</v>
      </c>
      <c r="M43" s="15">
        <f t="shared" si="26"/>
        <v>640603.04125000001</v>
      </c>
      <c r="N43" s="61">
        <f t="shared" si="26"/>
        <v>7309731.6875</v>
      </c>
    </row>
    <row r="44" spans="1:15" ht="15" customHeight="1" x14ac:dyDescent="0.3">
      <c r="A44" s="1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8"/>
    </row>
    <row r="45" spans="1:15" ht="15" customHeight="1" x14ac:dyDescent="0.3"/>
    <row r="46" spans="1:15" ht="15" customHeight="1" x14ac:dyDescent="0.3">
      <c r="A46" s="10" t="s">
        <v>18</v>
      </c>
      <c r="O46" s="69"/>
    </row>
    <row r="47" spans="1:15" ht="15" customHeight="1" x14ac:dyDescent="0.3">
      <c r="A47" s="2" t="s">
        <v>19</v>
      </c>
      <c r="B47" s="14">
        <f>SUM('FE Sales YR 2'!M51)</f>
        <v>7581129.9038124997</v>
      </c>
      <c r="C47" s="14">
        <f>B51</f>
        <v>7778506.2477500001</v>
      </c>
      <c r="D47" s="14">
        <f t="shared" ref="D47:M47" si="27">C51</f>
        <v>7996691.2890000008</v>
      </c>
      <c r="E47" s="14">
        <f t="shared" si="27"/>
        <v>8212676.3302500006</v>
      </c>
      <c r="F47" s="14">
        <f t="shared" si="27"/>
        <v>7510371.1824584026</v>
      </c>
      <c r="G47" s="14">
        <f t="shared" si="27"/>
        <v>7723656.2237084024</v>
      </c>
      <c r="H47" s="14">
        <f t="shared" si="27"/>
        <v>7936941.2649584021</v>
      </c>
      <c r="I47" s="14">
        <f t="shared" si="27"/>
        <v>8031183.2397084022</v>
      </c>
      <c r="J47" s="14">
        <f t="shared" si="27"/>
        <v>8197124.4747709017</v>
      </c>
      <c r="K47" s="14">
        <f t="shared" si="27"/>
        <v>8406085.2660209015</v>
      </c>
      <c r="L47" s="14">
        <f t="shared" si="27"/>
        <v>8615046.0572709013</v>
      </c>
      <c r="M47" s="14">
        <f t="shared" si="27"/>
        <v>8824006.8485209011</v>
      </c>
      <c r="O47" s="69"/>
    </row>
    <row r="48" spans="1:15" ht="15" customHeight="1" x14ac:dyDescent="0.3">
      <c r="A48" s="2" t="s">
        <v>20</v>
      </c>
      <c r="B48" s="14">
        <f>B43+B47</f>
        <v>8210148.4977500001</v>
      </c>
      <c r="C48" s="14">
        <f t="shared" ref="C48:L48" si="28">C43+C47</f>
        <v>8428333.5390000008</v>
      </c>
      <c r="D48" s="14">
        <f t="shared" si="28"/>
        <v>8644318.5802500006</v>
      </c>
      <c r="E48" s="14">
        <f t="shared" si="28"/>
        <v>8857603.6215000004</v>
      </c>
      <c r="F48" s="14">
        <f t="shared" si="28"/>
        <v>8155298.4737084024</v>
      </c>
      <c r="G48" s="14">
        <f t="shared" si="28"/>
        <v>8368583.5149584021</v>
      </c>
      <c r="H48" s="14">
        <f t="shared" si="28"/>
        <v>8290168.5897084018</v>
      </c>
      <c r="I48" s="14">
        <f t="shared" si="28"/>
        <v>8564020.3872709014</v>
      </c>
      <c r="J48" s="14">
        <f t="shared" si="28"/>
        <v>8837727.5160209015</v>
      </c>
      <c r="K48" s="14">
        <f t="shared" si="28"/>
        <v>9046688.3072709013</v>
      </c>
      <c r="L48" s="14">
        <f t="shared" si="28"/>
        <v>9255649.0985209011</v>
      </c>
      <c r="M48" s="14">
        <f>M15+M47</f>
        <v>9561856.8485209011</v>
      </c>
      <c r="O48" s="69"/>
    </row>
    <row r="49" spans="1:20" ht="15" customHeight="1" x14ac:dyDescent="0.3">
      <c r="A49" s="3" t="s">
        <v>77</v>
      </c>
      <c r="B49" s="29">
        <f>SUM(B76:B80)</f>
        <v>431642.25</v>
      </c>
      <c r="C49" s="29">
        <f t="shared" ref="C49:L49" si="29">SUM(C76:C80)</f>
        <v>431642.25</v>
      </c>
      <c r="D49" s="29">
        <f t="shared" si="29"/>
        <v>431642.25</v>
      </c>
      <c r="E49" s="29">
        <f t="shared" si="29"/>
        <v>431642.25</v>
      </c>
      <c r="F49" s="29">
        <f t="shared" si="29"/>
        <v>431642.25</v>
      </c>
      <c r="G49" s="29">
        <f t="shared" si="29"/>
        <v>431642.25</v>
      </c>
      <c r="H49" s="29">
        <f t="shared" si="29"/>
        <v>258985.35</v>
      </c>
      <c r="I49" s="29">
        <f t="shared" si="29"/>
        <v>366895.91249999998</v>
      </c>
      <c r="J49" s="29">
        <f t="shared" si="29"/>
        <v>431642.25</v>
      </c>
      <c r="K49" s="29">
        <f t="shared" si="29"/>
        <v>431642.25</v>
      </c>
      <c r="L49" s="29">
        <f t="shared" si="29"/>
        <v>431642.25</v>
      </c>
      <c r="M49" s="29">
        <f>SUM(M76:M80)</f>
        <v>431642.25</v>
      </c>
    </row>
    <row r="50" spans="1:20" ht="15" customHeight="1" x14ac:dyDescent="0.3">
      <c r="A50" s="3" t="s">
        <v>79</v>
      </c>
      <c r="B50" s="29">
        <v>0</v>
      </c>
      <c r="C50" s="29">
        <v>0</v>
      </c>
      <c r="D50" s="29">
        <v>0</v>
      </c>
      <c r="E50" s="29">
        <f>SUM('FE Sales YR 2'!S75)</f>
        <v>915590.18904159742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P50" s="52"/>
      <c r="Q50" s="52" t="s">
        <v>69</v>
      </c>
      <c r="R50" s="52" t="s">
        <v>65</v>
      </c>
      <c r="S50" s="62" t="s">
        <v>67</v>
      </c>
      <c r="T50" s="62" t="s">
        <v>66</v>
      </c>
    </row>
    <row r="51" spans="1:20" ht="15" customHeight="1" x14ac:dyDescent="0.3">
      <c r="A51" s="3" t="s">
        <v>80</v>
      </c>
      <c r="B51" s="76">
        <f>SUM(B48)-B49-B50</f>
        <v>7778506.2477500001</v>
      </c>
      <c r="C51" s="76">
        <f t="shared" ref="C51:M51" si="30">SUM(C48)-C49-C50</f>
        <v>7996691.2890000008</v>
      </c>
      <c r="D51" s="76">
        <f t="shared" si="30"/>
        <v>8212676.3302500006</v>
      </c>
      <c r="E51" s="76">
        <f t="shared" si="30"/>
        <v>7510371.1824584026</v>
      </c>
      <c r="F51" s="76">
        <f t="shared" si="30"/>
        <v>7723656.2237084024</v>
      </c>
      <c r="G51" s="76">
        <f t="shared" si="30"/>
        <v>7936941.2649584021</v>
      </c>
      <c r="H51" s="76">
        <f t="shared" si="30"/>
        <v>8031183.2397084022</v>
      </c>
      <c r="I51" s="76">
        <f t="shared" si="30"/>
        <v>8197124.4747709017</v>
      </c>
      <c r="J51" s="76">
        <f t="shared" si="30"/>
        <v>8406085.2660209015</v>
      </c>
      <c r="K51" s="76">
        <f t="shared" si="30"/>
        <v>8615046.0572709013</v>
      </c>
      <c r="L51" s="76">
        <f t="shared" si="30"/>
        <v>8824006.8485209011</v>
      </c>
      <c r="M51" s="76">
        <f t="shared" si="30"/>
        <v>9130214.5985209011</v>
      </c>
      <c r="P51" s="50" t="s">
        <v>1</v>
      </c>
      <c r="Q51" s="74" t="e">
        <f>SUM(N65)/N5</f>
        <v>#DIV/0!</v>
      </c>
      <c r="R51" s="51">
        <v>8400</v>
      </c>
      <c r="S51" s="70" t="e">
        <f>SUM(N65*3%)/N5</f>
        <v>#DIV/0!</v>
      </c>
      <c r="T51" s="49" t="e">
        <f>SUM(Q51:S51)/12</f>
        <v>#DIV/0!</v>
      </c>
    </row>
    <row r="52" spans="1:20" ht="15" customHeight="1" x14ac:dyDescent="0.3">
      <c r="P52" s="50" t="s">
        <v>2</v>
      </c>
      <c r="Q52" s="74">
        <f>SUM(N66)/7.5</f>
        <v>48080.637499999997</v>
      </c>
      <c r="R52" s="51">
        <v>8400</v>
      </c>
      <c r="S52" s="70">
        <f>SUM(N66*3%)/N6</f>
        <v>1202.0159374999998</v>
      </c>
      <c r="T52" s="49">
        <f t="shared" ref="T52:T55" si="31">SUM(Q52:S52)/12</f>
        <v>4806.8877864583328</v>
      </c>
    </row>
    <row r="53" spans="1:20" ht="15" customHeight="1" x14ac:dyDescent="0.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P53" s="50" t="s">
        <v>4</v>
      </c>
      <c r="Q53" s="74">
        <f>SUM(N67)/2.5</f>
        <v>33793.53</v>
      </c>
      <c r="R53" s="51">
        <v>8400</v>
      </c>
      <c r="S53" s="70">
        <f>SUM(N67*3%)/N7</f>
        <v>844.8382499999999</v>
      </c>
      <c r="T53" s="49">
        <f t="shared" si="31"/>
        <v>3586.5306875000001</v>
      </c>
    </row>
    <row r="54" spans="1:20" ht="15" customHeight="1" x14ac:dyDescent="0.3">
      <c r="P54" s="50" t="s">
        <v>3</v>
      </c>
      <c r="Q54" s="74">
        <f>SUM(N68)/15</f>
        <v>42610.35</v>
      </c>
      <c r="R54" s="51">
        <v>8400</v>
      </c>
      <c r="S54" s="70">
        <f>SUM(N68*3%)/N8</f>
        <v>3195.7762499999994</v>
      </c>
      <c r="T54" s="49">
        <f t="shared" si="31"/>
        <v>4517.1771875000004</v>
      </c>
    </row>
    <row r="55" spans="1:20" ht="15" customHeight="1" x14ac:dyDescent="0.3">
      <c r="A55" s="10" t="s">
        <v>41</v>
      </c>
      <c r="P55" s="50" t="s">
        <v>5</v>
      </c>
      <c r="Q55" s="74">
        <f>SUM(N69)/2.5</f>
        <v>71688.45</v>
      </c>
      <c r="R55" s="51">
        <v>8400</v>
      </c>
      <c r="S55" s="70" t="e">
        <f>SUM(N69*3%)/N9</f>
        <v>#DIV/0!</v>
      </c>
      <c r="T55" s="49" t="e">
        <f t="shared" si="31"/>
        <v>#DIV/0!</v>
      </c>
    </row>
    <row r="56" spans="1:20" ht="15" customHeight="1" x14ac:dyDescent="0.3">
      <c r="A56" s="2" t="s">
        <v>1</v>
      </c>
      <c r="B56" s="34">
        <f t="shared" ref="B56:M56" si="32">SUM(B65)/B15</f>
        <v>0.02</v>
      </c>
      <c r="C56" s="34">
        <f t="shared" si="32"/>
        <v>0.02</v>
      </c>
      <c r="D56" s="34">
        <f t="shared" si="32"/>
        <v>0.02</v>
      </c>
      <c r="E56" s="34">
        <f t="shared" si="32"/>
        <v>0.02</v>
      </c>
      <c r="F56" s="34">
        <f t="shared" si="32"/>
        <v>0.02</v>
      </c>
      <c r="G56" s="34">
        <f t="shared" si="32"/>
        <v>0.02</v>
      </c>
      <c r="H56" s="34">
        <f t="shared" si="32"/>
        <v>0.02</v>
      </c>
      <c r="I56" s="34">
        <f t="shared" si="32"/>
        <v>0.02</v>
      </c>
      <c r="J56" s="34">
        <f t="shared" si="32"/>
        <v>0.02</v>
      </c>
      <c r="K56" s="34">
        <f t="shared" si="32"/>
        <v>0.02</v>
      </c>
      <c r="L56" s="34">
        <f t="shared" si="32"/>
        <v>0.02</v>
      </c>
      <c r="M56" s="34">
        <f t="shared" si="32"/>
        <v>0.02</v>
      </c>
    </row>
    <row r="57" spans="1:20" ht="15" customHeight="1" x14ac:dyDescent="0.3">
      <c r="A57" s="2" t="s">
        <v>2</v>
      </c>
      <c r="B57" s="34">
        <f t="shared" ref="B57:M57" si="33">SUM(B66)/B15</f>
        <v>3.9605780307650607E-2</v>
      </c>
      <c r="C57" s="34">
        <f t="shared" si="33"/>
        <v>3.9605780307650607E-2</v>
      </c>
      <c r="D57" s="34">
        <f t="shared" si="33"/>
        <v>3.9605780307650607E-2</v>
      </c>
      <c r="E57" s="34">
        <f t="shared" si="33"/>
        <v>3.9605780307650607E-2</v>
      </c>
      <c r="F57" s="34">
        <f t="shared" si="33"/>
        <v>3.9605780307650607E-2</v>
      </c>
      <c r="G57" s="34">
        <f t="shared" si="33"/>
        <v>3.9605780307650607E-2</v>
      </c>
      <c r="H57" s="34">
        <f t="shared" si="33"/>
        <v>6.3323338076844884E-2</v>
      </c>
      <c r="I57" s="34">
        <f t="shared" si="33"/>
        <v>4.8375297466008153E-2</v>
      </c>
      <c r="J57" s="34">
        <f t="shared" si="33"/>
        <v>4.2994002846106931E-2</v>
      </c>
      <c r="K57" s="34">
        <f t="shared" si="33"/>
        <v>4.2994002846106931E-2</v>
      </c>
      <c r="L57" s="34">
        <f t="shared" si="33"/>
        <v>4.2994002846106931E-2</v>
      </c>
      <c r="M57" s="34">
        <f t="shared" si="33"/>
        <v>4.2994002846106931E-2</v>
      </c>
    </row>
    <row r="58" spans="1:20" ht="15" customHeight="1" x14ac:dyDescent="0.3">
      <c r="A58" s="2" t="s">
        <v>4</v>
      </c>
      <c r="B58" s="34">
        <f t="shared" ref="B58:M58" si="34">SUM(B67)/B$15</f>
        <v>0.01</v>
      </c>
      <c r="C58" s="34">
        <f t="shared" si="34"/>
        <v>0.01</v>
      </c>
      <c r="D58" s="34">
        <f t="shared" si="34"/>
        <v>0.01</v>
      </c>
      <c r="E58" s="34">
        <f t="shared" si="34"/>
        <v>0.01</v>
      </c>
      <c r="F58" s="34">
        <f t="shared" si="34"/>
        <v>0.01</v>
      </c>
      <c r="G58" s="34">
        <f t="shared" si="34"/>
        <v>0.01</v>
      </c>
      <c r="H58" s="34">
        <f t="shared" si="34"/>
        <v>0.01</v>
      </c>
      <c r="I58" s="34">
        <f t="shared" si="34"/>
        <v>0.01</v>
      </c>
      <c r="J58" s="34">
        <f t="shared" si="34"/>
        <v>0.01</v>
      </c>
      <c r="K58" s="34">
        <f t="shared" si="34"/>
        <v>0.01</v>
      </c>
      <c r="L58" s="34">
        <f t="shared" si="34"/>
        <v>0.01</v>
      </c>
      <c r="M58" s="34">
        <f t="shared" si="34"/>
        <v>0.01</v>
      </c>
    </row>
    <row r="59" spans="1:20" ht="15" customHeight="1" x14ac:dyDescent="0.3">
      <c r="A59" s="2" t="s">
        <v>3</v>
      </c>
      <c r="B59" s="34">
        <f t="shared" ref="B59:M59" si="35">SUM(B68)/B$15</f>
        <v>7.4872941654807887E-2</v>
      </c>
      <c r="C59" s="34">
        <f t="shared" si="35"/>
        <v>7.4872941654807887E-2</v>
      </c>
      <c r="D59" s="34">
        <f t="shared" si="35"/>
        <v>7.4872941654807887E-2</v>
      </c>
      <c r="E59" s="34">
        <f t="shared" si="35"/>
        <v>7.4872941654807887E-2</v>
      </c>
      <c r="F59" s="34">
        <f t="shared" si="35"/>
        <v>7.4872941654807887E-2</v>
      </c>
      <c r="G59" s="34">
        <f t="shared" si="35"/>
        <v>7.4872941654807887E-2</v>
      </c>
      <c r="H59" s="34">
        <f t="shared" si="35"/>
        <v>8.5715253777868136E-2</v>
      </c>
      <c r="I59" s="34">
        <f t="shared" si="35"/>
        <v>7.7742965452088544E-2</v>
      </c>
      <c r="J59" s="34">
        <f t="shared" si="35"/>
        <v>7.4872941654807887E-2</v>
      </c>
      <c r="K59" s="34">
        <f t="shared" si="35"/>
        <v>7.4872941654807887E-2</v>
      </c>
      <c r="L59" s="34">
        <f t="shared" si="35"/>
        <v>7.4872941654807887E-2</v>
      </c>
      <c r="M59" s="34">
        <f t="shared" si="35"/>
        <v>7.4872941654807887E-2</v>
      </c>
    </row>
    <row r="60" spans="1:20" ht="15" customHeight="1" x14ac:dyDescent="0.3">
      <c r="A60" s="2" t="s">
        <v>5</v>
      </c>
      <c r="B60" s="34">
        <f t="shared" ref="B60:M60" si="36">SUM(B69)/B$15</f>
        <v>2.1213661313275057E-2</v>
      </c>
      <c r="C60" s="34">
        <f t="shared" si="36"/>
        <v>2.1213661313275057E-2</v>
      </c>
      <c r="D60" s="34">
        <f t="shared" si="36"/>
        <v>2.1213661313275057E-2</v>
      </c>
      <c r="E60" s="34">
        <f t="shared" si="36"/>
        <v>2.1213661313275057E-2</v>
      </c>
      <c r="F60" s="34">
        <f t="shared" si="36"/>
        <v>2.1213661313275057E-2</v>
      </c>
      <c r="G60" s="34">
        <f t="shared" si="36"/>
        <v>2.1213661313275057E-2</v>
      </c>
      <c r="H60" s="34">
        <f t="shared" si="36"/>
        <v>2.1213661313275057E-2</v>
      </c>
      <c r="I60" s="34">
        <f t="shared" si="36"/>
        <v>2.1213661313275057E-2</v>
      </c>
      <c r="J60" s="34">
        <f t="shared" si="36"/>
        <v>2.1213661313275057E-2</v>
      </c>
      <c r="K60" s="34">
        <f t="shared" si="36"/>
        <v>2.1213661313275057E-2</v>
      </c>
      <c r="L60" s="34">
        <f t="shared" si="36"/>
        <v>2.1213661313275057E-2</v>
      </c>
      <c r="M60" s="34">
        <f t="shared" si="36"/>
        <v>2.1213661313275057E-2</v>
      </c>
    </row>
    <row r="61" spans="1:20" ht="15" customHeight="1" x14ac:dyDescent="0.3">
      <c r="A61" s="31" t="s">
        <v>8</v>
      </c>
      <c r="B61" s="35">
        <f t="shared" ref="B61:M61" si="37">SUM(B56:B60)</f>
        <v>0.16569238327573355</v>
      </c>
      <c r="C61" s="35">
        <f t="shared" si="37"/>
        <v>0.16569238327573355</v>
      </c>
      <c r="D61" s="35">
        <f t="shared" si="37"/>
        <v>0.16569238327573355</v>
      </c>
      <c r="E61" s="35">
        <f t="shared" si="37"/>
        <v>0.16569238327573355</v>
      </c>
      <c r="F61" s="35">
        <f t="shared" si="37"/>
        <v>0.16569238327573355</v>
      </c>
      <c r="G61" s="35">
        <f t="shared" si="37"/>
        <v>0.16569238327573355</v>
      </c>
      <c r="H61" s="35">
        <f t="shared" si="37"/>
        <v>0.20025225316798809</v>
      </c>
      <c r="I61" s="35">
        <f t="shared" si="37"/>
        <v>0.17733192423137176</v>
      </c>
      <c r="J61" s="35">
        <f t="shared" si="37"/>
        <v>0.16908060581418988</v>
      </c>
      <c r="K61" s="35">
        <f t="shared" si="37"/>
        <v>0.16908060581418988</v>
      </c>
      <c r="L61" s="35">
        <f t="shared" si="37"/>
        <v>0.16908060581418988</v>
      </c>
      <c r="M61" s="35">
        <f t="shared" si="37"/>
        <v>0.16908060581418988</v>
      </c>
    </row>
    <row r="62" spans="1:20" ht="15" customHeight="1" x14ac:dyDescent="0.3">
      <c r="A62" s="37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20" ht="15" customHeight="1" x14ac:dyDescent="0.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20" ht="15" customHeight="1" x14ac:dyDescent="0.3">
      <c r="A64" s="28" t="s">
        <v>42</v>
      </c>
    </row>
    <row r="65" spans="1:19" ht="15" customHeight="1" x14ac:dyDescent="0.3">
      <c r="A65" s="2" t="s">
        <v>1</v>
      </c>
      <c r="B65" s="14">
        <f t="shared" ref="B65:M65" si="38">SUM(B5*$Q5)+(B14*$R5)+(B13*$S5)</f>
        <v>14757</v>
      </c>
      <c r="C65" s="14">
        <f t="shared" si="38"/>
        <v>14757</v>
      </c>
      <c r="D65" s="14">
        <f t="shared" si="38"/>
        <v>14757</v>
      </c>
      <c r="E65" s="14">
        <f t="shared" si="38"/>
        <v>14757</v>
      </c>
      <c r="F65" s="14">
        <f t="shared" si="38"/>
        <v>14757</v>
      </c>
      <c r="G65" s="14">
        <f t="shared" si="38"/>
        <v>14757</v>
      </c>
      <c r="H65" s="14">
        <f t="shared" si="38"/>
        <v>8854.2000000000007</v>
      </c>
      <c r="I65" s="14">
        <f t="shared" si="38"/>
        <v>12543.45</v>
      </c>
      <c r="J65" s="14">
        <f t="shared" si="38"/>
        <v>14757</v>
      </c>
      <c r="K65" s="14">
        <f t="shared" si="38"/>
        <v>14757</v>
      </c>
      <c r="L65" s="14">
        <f t="shared" si="38"/>
        <v>14757</v>
      </c>
      <c r="M65" s="14">
        <f t="shared" si="38"/>
        <v>14757</v>
      </c>
      <c r="N65" s="73">
        <f>SUM(B65:M65)</f>
        <v>168967.65</v>
      </c>
    </row>
    <row r="66" spans="1:19" ht="15" customHeight="1" x14ac:dyDescent="0.3">
      <c r="A66" s="2" t="s">
        <v>2</v>
      </c>
      <c r="B66" s="14">
        <f t="shared" ref="B66:M66" si="39">SUM(B6*$Q6)+(B$13*$S6)+(B$14*$R6)</f>
        <v>29223.125</v>
      </c>
      <c r="C66" s="14">
        <f t="shared" si="39"/>
        <v>29223.125</v>
      </c>
      <c r="D66" s="14">
        <f t="shared" si="39"/>
        <v>29223.125</v>
      </c>
      <c r="E66" s="14">
        <f t="shared" si="39"/>
        <v>29223.125</v>
      </c>
      <c r="F66" s="14">
        <f t="shared" si="39"/>
        <v>29223.125</v>
      </c>
      <c r="G66" s="14">
        <f t="shared" si="39"/>
        <v>29223.125</v>
      </c>
      <c r="H66" s="14">
        <f t="shared" si="39"/>
        <v>28033.875</v>
      </c>
      <c r="I66" s="14">
        <f t="shared" si="39"/>
        <v>30339.65625</v>
      </c>
      <c r="J66" s="14">
        <f t="shared" si="39"/>
        <v>31723.125</v>
      </c>
      <c r="K66" s="14">
        <f t="shared" si="39"/>
        <v>31723.125</v>
      </c>
      <c r="L66" s="14">
        <f t="shared" si="39"/>
        <v>31723.125</v>
      </c>
      <c r="M66" s="14">
        <f t="shared" si="39"/>
        <v>31723.125</v>
      </c>
      <c r="N66" s="73">
        <f>SUM(B66:M66)</f>
        <v>360604.78125</v>
      </c>
    </row>
    <row r="67" spans="1:19" ht="15" customHeight="1" x14ac:dyDescent="0.3">
      <c r="A67" s="2" t="s">
        <v>4</v>
      </c>
      <c r="B67" s="14">
        <f t="shared" ref="B67:M67" si="40">SUM(B7*$Q7)+(B$13*$S7)+(B$14*$R7)</f>
        <v>7378.5</v>
      </c>
      <c r="C67" s="14">
        <f t="shared" si="40"/>
        <v>7378.5</v>
      </c>
      <c r="D67" s="14">
        <f t="shared" si="40"/>
        <v>7378.5</v>
      </c>
      <c r="E67" s="14">
        <f t="shared" si="40"/>
        <v>7378.5</v>
      </c>
      <c r="F67" s="14">
        <f t="shared" si="40"/>
        <v>7378.5</v>
      </c>
      <c r="G67" s="14">
        <f t="shared" si="40"/>
        <v>7378.5</v>
      </c>
      <c r="H67" s="14">
        <f t="shared" si="40"/>
        <v>4427.1000000000004</v>
      </c>
      <c r="I67" s="14">
        <f t="shared" si="40"/>
        <v>6271.7250000000004</v>
      </c>
      <c r="J67" s="14">
        <f t="shared" si="40"/>
        <v>7378.5</v>
      </c>
      <c r="K67" s="14">
        <f t="shared" si="40"/>
        <v>7378.5</v>
      </c>
      <c r="L67" s="14">
        <f t="shared" si="40"/>
        <v>7378.5</v>
      </c>
      <c r="M67" s="14">
        <f t="shared" si="40"/>
        <v>7378.5</v>
      </c>
      <c r="N67" s="73">
        <f>SUM(B67:M67)</f>
        <v>84483.824999999997</v>
      </c>
    </row>
    <row r="68" spans="1:19" ht="15" customHeight="1" x14ac:dyDescent="0.3">
      <c r="A68" s="2" t="s">
        <v>3</v>
      </c>
      <c r="B68" s="14">
        <f t="shared" ref="B68:M68" si="41">SUM(B8*$Q8)+(B$13*$S8)+(B$14*$R8)</f>
        <v>55245</v>
      </c>
      <c r="C68" s="14">
        <f t="shared" si="41"/>
        <v>55245</v>
      </c>
      <c r="D68" s="14">
        <f t="shared" si="41"/>
        <v>55245</v>
      </c>
      <c r="E68" s="14">
        <f t="shared" si="41"/>
        <v>55245</v>
      </c>
      <c r="F68" s="14">
        <f t="shared" si="41"/>
        <v>55245</v>
      </c>
      <c r="G68" s="14">
        <f t="shared" si="41"/>
        <v>55245</v>
      </c>
      <c r="H68" s="14">
        <f t="shared" si="41"/>
        <v>37947</v>
      </c>
      <c r="I68" s="14">
        <f t="shared" si="41"/>
        <v>48758.25</v>
      </c>
      <c r="J68" s="14">
        <f t="shared" si="41"/>
        <v>55245</v>
      </c>
      <c r="K68" s="14">
        <f t="shared" si="41"/>
        <v>55245</v>
      </c>
      <c r="L68" s="14">
        <f t="shared" si="41"/>
        <v>55245</v>
      </c>
      <c r="M68" s="14">
        <f t="shared" si="41"/>
        <v>55245</v>
      </c>
      <c r="N68" s="73">
        <f>SUM(B68:M68)</f>
        <v>639155.25</v>
      </c>
    </row>
    <row r="69" spans="1:19" ht="15" customHeight="1" x14ac:dyDescent="0.3">
      <c r="A69" s="2" t="s">
        <v>5</v>
      </c>
      <c r="B69" s="14">
        <f t="shared" ref="B69:M69" si="42">SUM(B9*$Q9)+(B$13*$S9)+(B$14*$R9)</f>
        <v>15652.5</v>
      </c>
      <c r="C69" s="14">
        <f t="shared" si="42"/>
        <v>15652.5</v>
      </c>
      <c r="D69" s="14">
        <f t="shared" si="42"/>
        <v>15652.5</v>
      </c>
      <c r="E69" s="14">
        <f t="shared" si="42"/>
        <v>15652.5</v>
      </c>
      <c r="F69" s="14">
        <f t="shared" si="42"/>
        <v>15652.5</v>
      </c>
      <c r="G69" s="14">
        <f t="shared" si="42"/>
        <v>15652.5</v>
      </c>
      <c r="H69" s="14">
        <f t="shared" si="42"/>
        <v>9391.5</v>
      </c>
      <c r="I69" s="14">
        <f t="shared" si="42"/>
        <v>13304.625</v>
      </c>
      <c r="J69" s="14">
        <f t="shared" si="42"/>
        <v>15652.5</v>
      </c>
      <c r="K69" s="14">
        <f t="shared" si="42"/>
        <v>15652.5</v>
      </c>
      <c r="L69" s="14">
        <f t="shared" si="42"/>
        <v>15652.5</v>
      </c>
      <c r="M69" s="14">
        <f t="shared" si="42"/>
        <v>15652.5</v>
      </c>
      <c r="N69" s="73">
        <f t="shared" ref="N69" si="43">SUM(B69:M69)</f>
        <v>179221.125</v>
      </c>
    </row>
    <row r="70" spans="1:19" ht="15" customHeight="1" x14ac:dyDescent="0.3">
      <c r="A70" s="38" t="s">
        <v>76</v>
      </c>
      <c r="B70" s="14">
        <f t="shared" ref="B70:M70" si="44">SUM(B22:B24)</f>
        <v>17022.156062499998</v>
      </c>
      <c r="C70" s="14">
        <f t="shared" si="44"/>
        <v>15138.58375</v>
      </c>
      <c r="D70" s="14">
        <f t="shared" si="44"/>
        <v>15138.58375</v>
      </c>
      <c r="E70" s="14">
        <f t="shared" si="44"/>
        <v>15138.58375</v>
      </c>
      <c r="F70" s="14">
        <f t="shared" si="44"/>
        <v>15138.58375</v>
      </c>
      <c r="G70" s="14">
        <f t="shared" si="44"/>
        <v>15138.58375</v>
      </c>
      <c r="H70" s="14">
        <f t="shared" si="44"/>
        <v>16592.60025</v>
      </c>
      <c r="I70" s="14">
        <f t="shared" si="44"/>
        <v>16725.246187500001</v>
      </c>
      <c r="J70" s="14">
        <f t="shared" si="44"/>
        <v>16804.833750000002</v>
      </c>
      <c r="K70" s="14">
        <f t="shared" si="44"/>
        <v>16804.833750000002</v>
      </c>
      <c r="L70" s="14">
        <f t="shared" si="44"/>
        <v>16804.833750000002</v>
      </c>
      <c r="M70" s="14">
        <f t="shared" si="44"/>
        <v>16804.833750000002</v>
      </c>
      <c r="N70" s="73">
        <f>SUM(B70:M70)</f>
        <v>193252.25624999998</v>
      </c>
    </row>
    <row r="71" spans="1:19" ht="15" customHeight="1" x14ac:dyDescent="0.3">
      <c r="A71" s="6" t="s">
        <v>8</v>
      </c>
      <c r="B71" s="33">
        <f>SUM(B65:B70)</f>
        <v>139278.2810625</v>
      </c>
      <c r="C71" s="33">
        <f t="shared" ref="C71:M71" si="45">SUM(C65:C70)</f>
        <v>137394.70874999999</v>
      </c>
      <c r="D71" s="33">
        <f t="shared" si="45"/>
        <v>137394.70874999999</v>
      </c>
      <c r="E71" s="33">
        <f t="shared" si="45"/>
        <v>137394.70874999999</v>
      </c>
      <c r="F71" s="33">
        <f t="shared" si="45"/>
        <v>137394.70874999999</v>
      </c>
      <c r="G71" s="33">
        <f t="shared" si="45"/>
        <v>137394.70874999999</v>
      </c>
      <c r="H71" s="33">
        <f t="shared" si="45"/>
        <v>105246.27524999999</v>
      </c>
      <c r="I71" s="33">
        <f t="shared" si="45"/>
        <v>127942.95243749999</v>
      </c>
      <c r="J71" s="33">
        <f t="shared" si="45"/>
        <v>141560.95874999999</v>
      </c>
      <c r="K71" s="33">
        <f t="shared" si="45"/>
        <v>141560.95874999999</v>
      </c>
      <c r="L71" s="33">
        <f t="shared" si="45"/>
        <v>141560.95874999999</v>
      </c>
      <c r="M71" s="33">
        <f t="shared" si="45"/>
        <v>141560.95874999999</v>
      </c>
      <c r="N71" s="73">
        <f>SUM(B71:M71)</f>
        <v>1625684.8874999997</v>
      </c>
      <c r="P71" s="47">
        <f>SUM(100%-O81)</f>
        <v>0.27953491985004231</v>
      </c>
      <c r="Q71" s="48" t="s">
        <v>45</v>
      </c>
    </row>
    <row r="72" spans="1:19" ht="15" customHeight="1" x14ac:dyDescent="0.3">
      <c r="P72" s="30">
        <f>SUM(N15)*P71</f>
        <v>2361617.9250000003</v>
      </c>
      <c r="Q72" s="48" t="s">
        <v>46</v>
      </c>
    </row>
    <row r="73" spans="1:19" ht="15" customHeight="1" x14ac:dyDescent="0.3">
      <c r="Q73" s="36"/>
    </row>
    <row r="74" spans="1:19" ht="15" customHeight="1" x14ac:dyDescent="0.3">
      <c r="A74" s="10" t="s">
        <v>59</v>
      </c>
      <c r="O74" s="45" t="s">
        <v>44</v>
      </c>
      <c r="Q74" s="45" t="s">
        <v>58</v>
      </c>
      <c r="R74" s="45" t="s">
        <v>44</v>
      </c>
      <c r="S74" s="45" t="s">
        <v>55</v>
      </c>
    </row>
    <row r="75" spans="1:19" ht="15" customHeight="1" x14ac:dyDescent="0.3">
      <c r="A75" s="3" t="s">
        <v>71</v>
      </c>
      <c r="B75" s="29">
        <f>SUM(B18:B40)</f>
        <v>109331.4060625</v>
      </c>
      <c r="C75" s="29">
        <f t="shared" ref="C75:M75" si="46">SUM(C18:C40)</f>
        <v>88952.708749999991</v>
      </c>
      <c r="D75" s="29">
        <f t="shared" si="46"/>
        <v>90522.708749999991</v>
      </c>
      <c r="E75" s="29">
        <f t="shared" si="46"/>
        <v>93222.708749999991</v>
      </c>
      <c r="F75" s="29">
        <f t="shared" si="46"/>
        <v>93222.708749999991</v>
      </c>
      <c r="G75" s="29">
        <f t="shared" si="46"/>
        <v>93222.708749999991</v>
      </c>
      <c r="H75" s="29">
        <f t="shared" si="46"/>
        <v>91162.67525</v>
      </c>
      <c r="I75" s="29">
        <f t="shared" si="46"/>
        <v>94635.352437499998</v>
      </c>
      <c r="J75" s="29">
        <f t="shared" si="46"/>
        <v>97546.958750000005</v>
      </c>
      <c r="K75" s="29">
        <f t="shared" si="46"/>
        <v>97546.958750000005</v>
      </c>
      <c r="L75" s="29">
        <f t="shared" si="46"/>
        <v>97546.958750000005</v>
      </c>
      <c r="M75" s="29">
        <f t="shared" si="46"/>
        <v>97546.958750000005</v>
      </c>
      <c r="N75" s="33">
        <f t="shared" ref="N75:N76" si="47">SUM(B75:M75)</f>
        <v>1144460.8125</v>
      </c>
      <c r="O75" s="44">
        <f>SUM(N75)/N15</f>
        <v>0.1354650801499577</v>
      </c>
      <c r="Q75" s="60" t="s">
        <v>56</v>
      </c>
      <c r="R75" s="47">
        <f>SUM(P71)</f>
        <v>0.27953491985004231</v>
      </c>
      <c r="S75" s="30">
        <f>SUM(P72)*R75</f>
        <v>660154.67738129827</v>
      </c>
    </row>
    <row r="76" spans="1:19" ht="15" customHeight="1" x14ac:dyDescent="0.3">
      <c r="A76" s="46" t="s">
        <v>60</v>
      </c>
      <c r="B76" s="29">
        <f>SUM(B15)*25%</f>
        <v>184462.5</v>
      </c>
      <c r="C76" s="29">
        <f t="shared" ref="C76:M76" si="48">SUM(C15)*25%</f>
        <v>184462.5</v>
      </c>
      <c r="D76" s="29">
        <f t="shared" si="48"/>
        <v>184462.5</v>
      </c>
      <c r="E76" s="29">
        <f t="shared" si="48"/>
        <v>184462.5</v>
      </c>
      <c r="F76" s="29">
        <f t="shared" si="48"/>
        <v>184462.5</v>
      </c>
      <c r="G76" s="29">
        <f t="shared" si="48"/>
        <v>184462.5</v>
      </c>
      <c r="H76" s="29">
        <f t="shared" si="48"/>
        <v>110677.5</v>
      </c>
      <c r="I76" s="29">
        <f t="shared" si="48"/>
        <v>156793.125</v>
      </c>
      <c r="J76" s="29">
        <f t="shared" si="48"/>
        <v>184462.5</v>
      </c>
      <c r="K76" s="29">
        <f t="shared" si="48"/>
        <v>184462.5</v>
      </c>
      <c r="L76" s="29">
        <f t="shared" si="48"/>
        <v>184462.5</v>
      </c>
      <c r="M76" s="29">
        <f t="shared" si="48"/>
        <v>184462.5</v>
      </c>
      <c r="N76" s="33">
        <f t="shared" si="47"/>
        <v>2112095.625</v>
      </c>
      <c r="O76" s="44">
        <f>SUM(N76)/N15</f>
        <v>0.25</v>
      </c>
    </row>
    <row r="77" spans="1:19" ht="15" customHeight="1" x14ac:dyDescent="0.3">
      <c r="A77" s="3" t="s">
        <v>78</v>
      </c>
      <c r="B77" s="29">
        <f t="shared" ref="B77:M77" si="49">SUM(B15)*25%</f>
        <v>184462.5</v>
      </c>
      <c r="C77" s="29">
        <f t="shared" si="49"/>
        <v>184462.5</v>
      </c>
      <c r="D77" s="29">
        <f t="shared" si="49"/>
        <v>184462.5</v>
      </c>
      <c r="E77" s="29">
        <f t="shared" si="49"/>
        <v>184462.5</v>
      </c>
      <c r="F77" s="29">
        <f t="shared" si="49"/>
        <v>184462.5</v>
      </c>
      <c r="G77" s="29">
        <f t="shared" si="49"/>
        <v>184462.5</v>
      </c>
      <c r="H77" s="29">
        <f t="shared" si="49"/>
        <v>110677.5</v>
      </c>
      <c r="I77" s="29">
        <f t="shared" si="49"/>
        <v>156793.125</v>
      </c>
      <c r="J77" s="29">
        <f t="shared" si="49"/>
        <v>184462.5</v>
      </c>
      <c r="K77" s="29">
        <f t="shared" si="49"/>
        <v>184462.5</v>
      </c>
      <c r="L77" s="29">
        <f t="shared" si="49"/>
        <v>184462.5</v>
      </c>
      <c r="M77" s="29">
        <f t="shared" si="49"/>
        <v>184462.5</v>
      </c>
      <c r="N77" s="33">
        <f t="shared" ref="N77:N80" si="50">SUM(B77:M77)</f>
        <v>2112095.625</v>
      </c>
      <c r="O77" s="44">
        <f>SUM(N77)/N15</f>
        <v>0.25</v>
      </c>
      <c r="Q77" s="63" t="s">
        <v>57</v>
      </c>
      <c r="R77" s="64" t="s">
        <v>44</v>
      </c>
      <c r="S77" s="64" t="s">
        <v>55</v>
      </c>
    </row>
    <row r="78" spans="1:19" ht="15" customHeight="1" x14ac:dyDescent="0.3">
      <c r="A78" s="3" t="s">
        <v>72</v>
      </c>
      <c r="B78" s="29">
        <f t="shared" ref="B78:M78" si="51">SUM(B15)*4.75%</f>
        <v>35047.875</v>
      </c>
      <c r="C78" s="29">
        <f t="shared" si="51"/>
        <v>35047.875</v>
      </c>
      <c r="D78" s="29">
        <f t="shared" si="51"/>
        <v>35047.875</v>
      </c>
      <c r="E78" s="29">
        <f t="shared" si="51"/>
        <v>35047.875</v>
      </c>
      <c r="F78" s="29">
        <f t="shared" si="51"/>
        <v>35047.875</v>
      </c>
      <c r="G78" s="29">
        <f t="shared" si="51"/>
        <v>35047.875</v>
      </c>
      <c r="H78" s="29">
        <f t="shared" si="51"/>
        <v>21028.724999999999</v>
      </c>
      <c r="I78" s="29">
        <f t="shared" si="51"/>
        <v>29790.693749999999</v>
      </c>
      <c r="J78" s="29">
        <f t="shared" si="51"/>
        <v>35047.875</v>
      </c>
      <c r="K78" s="29">
        <f t="shared" si="51"/>
        <v>35047.875</v>
      </c>
      <c r="L78" s="29">
        <f t="shared" si="51"/>
        <v>35047.875</v>
      </c>
      <c r="M78" s="29">
        <f t="shared" si="51"/>
        <v>35047.875</v>
      </c>
      <c r="N78" s="33">
        <f>SUM(B78:M78)</f>
        <v>401298.16875000001</v>
      </c>
      <c r="O78" s="44">
        <f>SUM(N78)/N15</f>
        <v>4.7500000000000001E-2</v>
      </c>
      <c r="Q78" s="60" t="s">
        <v>56</v>
      </c>
      <c r="R78" s="47">
        <f>100%-R75</f>
        <v>0.72046508014995769</v>
      </c>
      <c r="S78" s="30">
        <f>SUM(P72)*R78</f>
        <v>1701463.247618702</v>
      </c>
    </row>
    <row r="79" spans="1:19" ht="15" customHeight="1" x14ac:dyDescent="0.3">
      <c r="A79" s="3" t="s">
        <v>74</v>
      </c>
      <c r="B79" s="29">
        <f t="shared" ref="B79:M79" si="52">SUM(B15)*2.75%</f>
        <v>20290.875</v>
      </c>
      <c r="C79" s="29">
        <f t="shared" si="52"/>
        <v>20290.875</v>
      </c>
      <c r="D79" s="29">
        <f t="shared" si="52"/>
        <v>20290.875</v>
      </c>
      <c r="E79" s="29">
        <f t="shared" si="52"/>
        <v>20290.875</v>
      </c>
      <c r="F79" s="29">
        <f t="shared" si="52"/>
        <v>20290.875</v>
      </c>
      <c r="G79" s="29">
        <f t="shared" si="52"/>
        <v>20290.875</v>
      </c>
      <c r="H79" s="29">
        <f t="shared" si="52"/>
        <v>12174.525</v>
      </c>
      <c r="I79" s="29">
        <f t="shared" si="52"/>
        <v>17247.243750000001</v>
      </c>
      <c r="J79" s="29">
        <f t="shared" si="52"/>
        <v>20290.875</v>
      </c>
      <c r="K79" s="29">
        <f t="shared" si="52"/>
        <v>20290.875</v>
      </c>
      <c r="L79" s="29">
        <f t="shared" si="52"/>
        <v>20290.875</v>
      </c>
      <c r="M79" s="29">
        <f t="shared" si="52"/>
        <v>20290.875</v>
      </c>
      <c r="N79" s="43">
        <f t="shared" si="50"/>
        <v>232330.51874999999</v>
      </c>
      <c r="O79" s="44">
        <f>SUM(N79)/N15</f>
        <v>2.75E-2</v>
      </c>
    </row>
    <row r="80" spans="1:19" ht="15" customHeight="1" x14ac:dyDescent="0.3">
      <c r="A80" s="3" t="s">
        <v>51</v>
      </c>
      <c r="B80" s="29">
        <f t="shared" ref="B80:M80" si="53">SUM(B15)*1%</f>
        <v>7378.5</v>
      </c>
      <c r="C80" s="29">
        <f t="shared" si="53"/>
        <v>7378.5</v>
      </c>
      <c r="D80" s="29">
        <f t="shared" si="53"/>
        <v>7378.5</v>
      </c>
      <c r="E80" s="29">
        <f t="shared" si="53"/>
        <v>7378.5</v>
      </c>
      <c r="F80" s="29">
        <f t="shared" si="53"/>
        <v>7378.5</v>
      </c>
      <c r="G80" s="29">
        <f t="shared" si="53"/>
        <v>7378.5</v>
      </c>
      <c r="H80" s="29">
        <f t="shared" si="53"/>
        <v>4427.1000000000004</v>
      </c>
      <c r="I80" s="29">
        <f t="shared" si="53"/>
        <v>6271.7250000000004</v>
      </c>
      <c r="J80" s="29">
        <f t="shared" si="53"/>
        <v>7378.5</v>
      </c>
      <c r="K80" s="29">
        <f t="shared" si="53"/>
        <v>7378.5</v>
      </c>
      <c r="L80" s="29">
        <f t="shared" si="53"/>
        <v>7378.5</v>
      </c>
      <c r="M80" s="29">
        <f t="shared" si="53"/>
        <v>7378.5</v>
      </c>
      <c r="N80" s="33">
        <f t="shared" si="50"/>
        <v>84483.824999999997</v>
      </c>
      <c r="O80" s="44">
        <f>SUM(N80)/N15</f>
        <v>0.01</v>
      </c>
    </row>
    <row r="81" spans="1:15" ht="15" customHeight="1" x14ac:dyDescent="0.3">
      <c r="A81" s="6" t="s">
        <v>8</v>
      </c>
      <c r="B81" s="33">
        <f>SUM(B75:B80)</f>
        <v>540973.65606249997</v>
      </c>
      <c r="C81" s="33">
        <f t="shared" ref="C81:N81" si="54">SUM(C75:C80)</f>
        <v>520594.95874999999</v>
      </c>
      <c r="D81" s="33">
        <f t="shared" si="54"/>
        <v>522164.95874999999</v>
      </c>
      <c r="E81" s="33">
        <f t="shared" si="54"/>
        <v>524864.95874999999</v>
      </c>
      <c r="F81" s="33">
        <f t="shared" si="54"/>
        <v>524864.95874999999</v>
      </c>
      <c r="G81" s="33">
        <f t="shared" si="54"/>
        <v>524864.95874999999</v>
      </c>
      <c r="H81" s="33">
        <f t="shared" si="54"/>
        <v>350148.02524999995</v>
      </c>
      <c r="I81" s="33">
        <f t="shared" si="54"/>
        <v>461531.2649375</v>
      </c>
      <c r="J81" s="33">
        <f t="shared" si="54"/>
        <v>529189.20874999999</v>
      </c>
      <c r="K81" s="33">
        <f t="shared" si="54"/>
        <v>529189.20874999999</v>
      </c>
      <c r="L81" s="33">
        <f t="shared" si="54"/>
        <v>529189.20874999999</v>
      </c>
      <c r="M81" s="33">
        <f t="shared" si="54"/>
        <v>529189.20874999999</v>
      </c>
      <c r="N81" s="33">
        <f t="shared" si="54"/>
        <v>6086764.5750000002</v>
      </c>
      <c r="O81" s="81">
        <f>SUM(O75:O80)</f>
        <v>0.72046508014995769</v>
      </c>
    </row>
    <row r="82" spans="1:15" ht="15" customHeight="1" x14ac:dyDescent="0.3"/>
    <row r="83" spans="1:15" ht="15" customHeight="1" x14ac:dyDescent="0.3"/>
    <row r="84" spans="1:15" ht="15" customHeight="1" x14ac:dyDescent="0.3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69"/>
    </row>
    <row r="85" spans="1:15" ht="15" customHeight="1" x14ac:dyDescent="0.3"/>
  </sheetData>
  <mergeCells count="1">
    <mergeCell ref="B1:M1"/>
  </mergeCells>
  <pageMargins left="0.7" right="0.7" top="0.75" bottom="0.75" header="0.3" footer="0.3"/>
  <pageSetup orientation="portrait" horizontalDpi="4294967292" verticalDpi="1200" r:id="rId1"/>
  <ignoredErrors>
    <ignoredError sqref="Q5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BFF2-9CBF-47C3-B6CA-962F27D3A330}">
  <sheetPr>
    <tabColor rgb="FF92D050"/>
  </sheetPr>
  <dimension ref="A1:T84"/>
  <sheetViews>
    <sheetView topLeftCell="G18" zoomScale="98" zoomScaleNormal="98" workbookViewId="0">
      <selection activeCell="Q17" sqref="Q17"/>
    </sheetView>
  </sheetViews>
  <sheetFormatPr defaultRowHeight="14.4" x14ac:dyDescent="0.3"/>
  <cols>
    <col min="1" max="1" width="30.33203125" customWidth="1"/>
    <col min="2" max="13" width="12.6640625" customWidth="1"/>
    <col min="14" max="14" width="13.33203125" bestFit="1" customWidth="1"/>
    <col min="16" max="16" width="18.6640625" customWidth="1"/>
    <col min="17" max="17" width="18.5546875" customWidth="1"/>
    <col min="18" max="18" width="11.5546875" bestFit="1" customWidth="1"/>
    <col min="19" max="19" width="13.33203125" bestFit="1" customWidth="1"/>
    <col min="20" max="20" width="12.109375" bestFit="1" customWidth="1"/>
    <col min="21" max="21" width="11.5546875" bestFit="1" customWidth="1"/>
  </cols>
  <sheetData>
    <row r="1" spans="1:20" ht="15" customHeight="1" thickBot="1" x14ac:dyDescent="0.35">
      <c r="A1" s="4"/>
      <c r="B1" s="94" t="s">
        <v>32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P1" s="20" t="s">
        <v>31</v>
      </c>
      <c r="Q1" s="21"/>
      <c r="R1" s="21"/>
      <c r="S1" s="21"/>
      <c r="T1" s="22"/>
    </row>
    <row r="2" spans="1:20" ht="15" customHeight="1" x14ac:dyDescent="0.3">
      <c r="A2" s="4"/>
      <c r="B2" s="39">
        <v>44551</v>
      </c>
      <c r="C2" s="39">
        <v>44582</v>
      </c>
      <c r="D2" s="39">
        <v>44613</v>
      </c>
      <c r="E2" s="39">
        <v>44641</v>
      </c>
      <c r="F2" s="39">
        <v>44672</v>
      </c>
      <c r="G2" s="39">
        <v>44702</v>
      </c>
      <c r="H2" s="39">
        <v>44733</v>
      </c>
      <c r="I2" s="39">
        <v>44763</v>
      </c>
      <c r="J2" s="39">
        <v>44794</v>
      </c>
      <c r="K2" s="39">
        <v>44825</v>
      </c>
      <c r="L2" s="39">
        <v>44855</v>
      </c>
      <c r="M2" s="39">
        <v>44886</v>
      </c>
      <c r="P2" s="12"/>
      <c r="Q2" s="12"/>
      <c r="R2" s="12"/>
      <c r="S2" s="12"/>
      <c r="T2" s="1"/>
    </row>
    <row r="3" spans="1:20" ht="15" customHeight="1" x14ac:dyDescent="0.3">
      <c r="A3" s="13" t="s">
        <v>0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 t="s">
        <v>8</v>
      </c>
      <c r="P3" s="4" t="s">
        <v>30</v>
      </c>
    </row>
    <row r="4" spans="1:20" ht="15" customHeight="1" x14ac:dyDescent="0.3">
      <c r="A4" s="12" t="s">
        <v>53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71"/>
      <c r="P4" s="5" t="s">
        <v>21</v>
      </c>
      <c r="Q4" s="5" t="s">
        <v>22</v>
      </c>
      <c r="R4" s="5" t="s">
        <v>35</v>
      </c>
      <c r="S4" s="53" t="s">
        <v>50</v>
      </c>
    </row>
    <row r="5" spans="1:20" ht="15" customHeight="1" x14ac:dyDescent="0.3">
      <c r="A5" s="2" t="s">
        <v>1</v>
      </c>
      <c r="B5" s="3">
        <f>SUM('FE Sales YR 3'!M5)</f>
        <v>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17">
        <f>SUM(M5)</f>
        <v>1</v>
      </c>
      <c r="O5" s="72"/>
      <c r="P5" s="89" t="s">
        <v>1</v>
      </c>
      <c r="Q5" s="9">
        <v>0</v>
      </c>
      <c r="R5" s="42">
        <v>1.7500000000000002E-2</v>
      </c>
      <c r="S5" s="42">
        <v>1.7500000000000002E-2</v>
      </c>
    </row>
    <row r="6" spans="1:20" ht="15" customHeight="1" x14ac:dyDescent="0.3">
      <c r="A6" s="2" t="s">
        <v>2</v>
      </c>
      <c r="B6" s="3">
        <f>SUM('FE Sales YR 3'!M6)</f>
        <v>9</v>
      </c>
      <c r="C6" s="3">
        <v>9</v>
      </c>
      <c r="D6" s="3">
        <v>9</v>
      </c>
      <c r="E6" s="3">
        <v>9</v>
      </c>
      <c r="F6" s="3">
        <v>9</v>
      </c>
      <c r="G6" s="3">
        <v>9</v>
      </c>
      <c r="H6" s="92">
        <v>12</v>
      </c>
      <c r="I6" s="56">
        <v>12</v>
      </c>
      <c r="J6" s="56">
        <v>12</v>
      </c>
      <c r="K6" s="56">
        <v>12</v>
      </c>
      <c r="L6" s="56">
        <v>12</v>
      </c>
      <c r="M6" s="56">
        <v>12</v>
      </c>
      <c r="N6" s="17">
        <f t="shared" ref="N6:N9" si="0">SUM(M6)</f>
        <v>12</v>
      </c>
      <c r="O6" s="72"/>
      <c r="P6" s="91" t="s">
        <v>2</v>
      </c>
      <c r="Q6" s="9">
        <v>2500</v>
      </c>
      <c r="R6" s="42">
        <v>1.2500000000000001E-2</v>
      </c>
      <c r="S6" s="58">
        <v>1.2500000000000001E-2</v>
      </c>
    </row>
    <row r="7" spans="1:20" ht="15" customHeight="1" x14ac:dyDescent="0.3">
      <c r="A7" s="2" t="s">
        <v>4</v>
      </c>
      <c r="B7" s="3">
        <f>SUM('FE Sales YR 3'!M7)</f>
        <v>3</v>
      </c>
      <c r="C7" s="3">
        <v>3</v>
      </c>
      <c r="D7" s="3">
        <v>3</v>
      </c>
      <c r="E7" s="3">
        <v>3</v>
      </c>
      <c r="F7" s="3">
        <v>3</v>
      </c>
      <c r="G7" s="3">
        <v>3</v>
      </c>
      <c r="H7" s="88">
        <v>4</v>
      </c>
      <c r="I7" s="23">
        <v>4</v>
      </c>
      <c r="J7" s="23">
        <v>4</v>
      </c>
      <c r="K7" s="23">
        <v>4</v>
      </c>
      <c r="L7" s="23">
        <v>4</v>
      </c>
      <c r="M7" s="23">
        <v>4</v>
      </c>
      <c r="N7" s="17">
        <f t="shared" si="0"/>
        <v>4</v>
      </c>
      <c r="O7" s="72"/>
      <c r="P7" s="87" t="s">
        <v>4</v>
      </c>
      <c r="Q7" s="9">
        <v>0</v>
      </c>
      <c r="R7" s="42">
        <v>0.01</v>
      </c>
      <c r="S7" s="42">
        <v>0.01</v>
      </c>
    </row>
    <row r="8" spans="1:20" ht="15" customHeight="1" x14ac:dyDescent="0.3">
      <c r="A8" s="2" t="s">
        <v>3</v>
      </c>
      <c r="B8" s="3">
        <f>SUM('FE Sales YR 3'!M8)</f>
        <v>6</v>
      </c>
      <c r="C8" s="3">
        <v>18</v>
      </c>
      <c r="D8" s="3">
        <v>18</v>
      </c>
      <c r="E8" s="3">
        <v>18</v>
      </c>
      <c r="F8" s="3">
        <v>18</v>
      </c>
      <c r="G8" s="3">
        <v>18</v>
      </c>
      <c r="H8" s="86">
        <v>24</v>
      </c>
      <c r="I8" s="23">
        <v>24</v>
      </c>
      <c r="J8" s="23">
        <v>24</v>
      </c>
      <c r="K8" s="23">
        <v>24</v>
      </c>
      <c r="L8" s="23">
        <v>24</v>
      </c>
      <c r="M8" s="23">
        <v>24</v>
      </c>
      <c r="N8" s="17">
        <f t="shared" si="0"/>
        <v>24</v>
      </c>
      <c r="O8" s="72"/>
      <c r="P8" s="85" t="s">
        <v>3</v>
      </c>
      <c r="Q8" s="9">
        <v>2000</v>
      </c>
      <c r="R8" s="42">
        <v>0.04</v>
      </c>
      <c r="S8" s="42">
        <v>0.5</v>
      </c>
    </row>
    <row r="9" spans="1:20" ht="15" customHeight="1" x14ac:dyDescent="0.3">
      <c r="A9" s="2" t="s">
        <v>5</v>
      </c>
      <c r="B9" s="3">
        <f>SUM('FE Sales YR 3'!M9)</f>
        <v>0</v>
      </c>
      <c r="C9" s="3">
        <v>3</v>
      </c>
      <c r="D9" s="3">
        <v>3</v>
      </c>
      <c r="E9" s="3">
        <v>3</v>
      </c>
      <c r="F9" s="3">
        <v>3</v>
      </c>
      <c r="G9" s="3">
        <v>3</v>
      </c>
      <c r="H9" s="83">
        <v>4</v>
      </c>
      <c r="I9" s="23">
        <v>4</v>
      </c>
      <c r="J9" s="23">
        <v>4</v>
      </c>
      <c r="K9" s="23">
        <v>4</v>
      </c>
      <c r="L9" s="23">
        <v>4</v>
      </c>
      <c r="M9" s="23">
        <v>4</v>
      </c>
      <c r="N9" s="17">
        <f t="shared" si="0"/>
        <v>4</v>
      </c>
      <c r="O9" s="72"/>
      <c r="P9" s="84" t="s">
        <v>5</v>
      </c>
      <c r="Q9" s="9">
        <v>0</v>
      </c>
      <c r="R9" s="42">
        <v>1.7500000000000002E-2</v>
      </c>
      <c r="S9" s="42">
        <v>0.05</v>
      </c>
    </row>
    <row r="10" spans="1:20" ht="15" customHeight="1" x14ac:dyDescent="0.3">
      <c r="A10" s="6" t="s">
        <v>8</v>
      </c>
      <c r="B10" s="8">
        <f t="shared" ref="B10:N10" si="1">SUM(B5:B9)</f>
        <v>18</v>
      </c>
      <c r="C10" s="8">
        <f t="shared" si="1"/>
        <v>34</v>
      </c>
      <c r="D10" s="8">
        <f t="shared" si="1"/>
        <v>34</v>
      </c>
      <c r="E10" s="8">
        <f t="shared" si="1"/>
        <v>34</v>
      </c>
      <c r="F10" s="8">
        <f t="shared" si="1"/>
        <v>34</v>
      </c>
      <c r="G10" s="8">
        <f t="shared" si="1"/>
        <v>34</v>
      </c>
      <c r="H10" s="8">
        <f t="shared" si="1"/>
        <v>45</v>
      </c>
      <c r="I10" s="8">
        <f t="shared" si="1"/>
        <v>45</v>
      </c>
      <c r="J10" s="8">
        <f t="shared" si="1"/>
        <v>45</v>
      </c>
      <c r="K10" s="8">
        <f t="shared" si="1"/>
        <v>45</v>
      </c>
      <c r="L10" s="8">
        <f t="shared" si="1"/>
        <v>45</v>
      </c>
      <c r="M10" s="8">
        <f t="shared" si="1"/>
        <v>45</v>
      </c>
      <c r="N10" s="17">
        <f t="shared" si="1"/>
        <v>45</v>
      </c>
      <c r="R10" s="75">
        <f>SUM(R5:R9)</f>
        <v>9.7500000000000003E-2</v>
      </c>
      <c r="S10" s="75">
        <f>SUM(S5:S9)</f>
        <v>0.59000000000000008</v>
      </c>
    </row>
    <row r="11" spans="1:20" ht="15" customHeight="1" x14ac:dyDescent="0.3"/>
    <row r="12" spans="1:20" ht="15" customHeight="1" x14ac:dyDescent="0.3">
      <c r="A12" s="12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4" t="s">
        <v>25</v>
      </c>
    </row>
    <row r="13" spans="1:20" ht="15" customHeight="1" x14ac:dyDescent="0.3">
      <c r="A13" s="2" t="s">
        <v>34</v>
      </c>
      <c r="B13" s="14">
        <f t="shared" ref="B13:M13" si="2">B8*$Q$13*$Q$14</f>
        <v>29850</v>
      </c>
      <c r="C13" s="14">
        <f t="shared" si="2"/>
        <v>89550</v>
      </c>
      <c r="D13" s="14">
        <f t="shared" si="2"/>
        <v>89550</v>
      </c>
      <c r="E13" s="14">
        <f t="shared" si="2"/>
        <v>89550</v>
      </c>
      <c r="F13" s="14">
        <f t="shared" si="2"/>
        <v>89550</v>
      </c>
      <c r="G13" s="14">
        <f t="shared" si="2"/>
        <v>89550</v>
      </c>
      <c r="H13" s="14">
        <f>H8*$Q$13*$Q$14*85%</f>
        <v>101490</v>
      </c>
      <c r="I13" s="14">
        <f>I8*$Q$13*$Q$14*90%</f>
        <v>107460</v>
      </c>
      <c r="J13" s="14">
        <f t="shared" si="2"/>
        <v>119400</v>
      </c>
      <c r="K13" s="14">
        <f t="shared" si="2"/>
        <v>119400</v>
      </c>
      <c r="L13" s="14">
        <f t="shared" si="2"/>
        <v>119400</v>
      </c>
      <c r="M13" s="14">
        <f t="shared" si="2"/>
        <v>119400</v>
      </c>
      <c r="N13" s="18">
        <f>SUM(B13:M13)</f>
        <v>1164150</v>
      </c>
      <c r="P13" s="3" t="s">
        <v>23</v>
      </c>
      <c r="Q13" s="9">
        <v>5</v>
      </c>
    </row>
    <row r="14" spans="1:20" ht="15" customHeight="1" x14ac:dyDescent="0.3">
      <c r="A14" s="2" t="s">
        <v>7</v>
      </c>
      <c r="B14" s="14">
        <f t="shared" ref="B14:M14" si="3">B8*$Q$13*$Q$15*$Q$16*$Q$17</f>
        <v>708000</v>
      </c>
      <c r="C14" s="14">
        <f t="shared" si="3"/>
        <v>2124000</v>
      </c>
      <c r="D14" s="14">
        <f t="shared" si="3"/>
        <v>2124000</v>
      </c>
      <c r="E14" s="14">
        <f t="shared" si="3"/>
        <v>2124000</v>
      </c>
      <c r="F14" s="14">
        <f t="shared" si="3"/>
        <v>2124000</v>
      </c>
      <c r="G14" s="14">
        <f t="shared" si="3"/>
        <v>2124000</v>
      </c>
      <c r="H14" s="14">
        <f>H8*$Q$13*$Q$15*$Q$16*$Q$17*85%</f>
        <v>2407200</v>
      </c>
      <c r="I14" s="14">
        <f>I8*$Q$13*$Q$15*$Q$16*$Q$17*90%</f>
        <v>2548800</v>
      </c>
      <c r="J14" s="14">
        <f t="shared" si="3"/>
        <v>2832000</v>
      </c>
      <c r="K14" s="14">
        <f t="shared" si="3"/>
        <v>2832000</v>
      </c>
      <c r="L14" s="14">
        <f t="shared" si="3"/>
        <v>2832000</v>
      </c>
      <c r="M14" s="14">
        <f t="shared" si="3"/>
        <v>2832000</v>
      </c>
      <c r="N14" s="18">
        <f>SUM(B14:M14)</f>
        <v>27612000</v>
      </c>
      <c r="P14" s="3" t="s">
        <v>28</v>
      </c>
      <c r="Q14" s="9">
        <v>995</v>
      </c>
    </row>
    <row r="15" spans="1:20" ht="15" customHeight="1" x14ac:dyDescent="0.3">
      <c r="A15" s="6" t="s">
        <v>8</v>
      </c>
      <c r="B15" s="15">
        <f t="shared" ref="B15:M15" si="4">SUM(B13:B14)</f>
        <v>737850</v>
      </c>
      <c r="C15" s="15">
        <f t="shared" si="4"/>
        <v>2213550</v>
      </c>
      <c r="D15" s="15">
        <f t="shared" si="4"/>
        <v>2213550</v>
      </c>
      <c r="E15" s="15">
        <f t="shared" si="4"/>
        <v>2213550</v>
      </c>
      <c r="F15" s="15">
        <f t="shared" si="4"/>
        <v>2213550</v>
      </c>
      <c r="G15" s="15">
        <f t="shared" si="4"/>
        <v>2213550</v>
      </c>
      <c r="H15" s="15">
        <f t="shared" si="4"/>
        <v>2508690</v>
      </c>
      <c r="I15" s="15">
        <f t="shared" si="4"/>
        <v>2656260</v>
      </c>
      <c r="J15" s="15">
        <f t="shared" si="4"/>
        <v>2951400</v>
      </c>
      <c r="K15" s="15">
        <f t="shared" si="4"/>
        <v>2951400</v>
      </c>
      <c r="L15" s="15">
        <f t="shared" si="4"/>
        <v>2951400</v>
      </c>
      <c r="M15" s="15">
        <f t="shared" si="4"/>
        <v>2951400</v>
      </c>
      <c r="N15" s="18">
        <f>SUM(B15:M15)</f>
        <v>28776150</v>
      </c>
      <c r="P15" s="3" t="s">
        <v>24</v>
      </c>
      <c r="Q15" s="16">
        <v>0.5</v>
      </c>
    </row>
    <row r="16" spans="1:20" ht="15" customHeight="1" x14ac:dyDescent="0.3">
      <c r="P16" s="3" t="s">
        <v>26</v>
      </c>
      <c r="Q16" s="9">
        <v>160</v>
      </c>
    </row>
    <row r="17" spans="1:18" ht="15" customHeight="1" x14ac:dyDescent="0.3">
      <c r="A17" s="10" t="s">
        <v>9</v>
      </c>
      <c r="P17" s="3" t="s">
        <v>27</v>
      </c>
      <c r="Q17" s="9">
        <v>295</v>
      </c>
    </row>
    <row r="18" spans="1:18" ht="15" customHeight="1" x14ac:dyDescent="0.3">
      <c r="A18" s="2" t="s">
        <v>10</v>
      </c>
      <c r="B18" s="14">
        <f t="shared" ref="B18:M18" si="5">B5*$Q$5+B6*$Q$6+C7*$Q$7+B8*$Q$8+B9*$Q$9+B13*S5+B13*S6+B13*S7+B13*S8+B13*S9</f>
        <v>52111.5</v>
      </c>
      <c r="C18" s="14">
        <f t="shared" si="5"/>
        <v>58500</v>
      </c>
      <c r="D18" s="14">
        <f t="shared" si="5"/>
        <v>58500</v>
      </c>
      <c r="E18" s="14">
        <f t="shared" si="5"/>
        <v>58500</v>
      </c>
      <c r="F18" s="14">
        <f t="shared" si="5"/>
        <v>58500</v>
      </c>
      <c r="G18" s="14">
        <f t="shared" si="5"/>
        <v>58500</v>
      </c>
      <c r="H18" s="14">
        <f t="shared" si="5"/>
        <v>78000</v>
      </c>
      <c r="I18" s="14">
        <f t="shared" si="5"/>
        <v>78000</v>
      </c>
      <c r="J18" s="14">
        <f t="shared" si="5"/>
        <v>78000</v>
      </c>
      <c r="K18" s="14">
        <f t="shared" si="5"/>
        <v>78000</v>
      </c>
      <c r="L18" s="14">
        <f t="shared" si="5"/>
        <v>78000</v>
      </c>
      <c r="M18" s="14">
        <f t="shared" si="5"/>
        <v>78000</v>
      </c>
      <c r="N18" s="18">
        <f>SUM(B18:M18)</f>
        <v>812611.5</v>
      </c>
      <c r="P18" s="19" t="s">
        <v>36</v>
      </c>
      <c r="Q18" s="23">
        <f>IF(Q13&gt;5,(Q13-4)*300,0)</f>
        <v>0</v>
      </c>
    </row>
    <row r="19" spans="1:18" ht="15" customHeight="1" x14ac:dyDescent="0.3">
      <c r="A19" s="2" t="s">
        <v>38</v>
      </c>
      <c r="B19" s="14">
        <f t="shared" ref="B19:M19" si="6">IF(B5&gt;0,$R$5*B$14,0)</f>
        <v>0</v>
      </c>
      <c r="C19" s="14">
        <f t="shared" si="6"/>
        <v>37170</v>
      </c>
      <c r="D19" s="14">
        <f t="shared" si="6"/>
        <v>37170</v>
      </c>
      <c r="E19" s="14">
        <f t="shared" si="6"/>
        <v>37170</v>
      </c>
      <c r="F19" s="14">
        <f t="shared" si="6"/>
        <v>37170</v>
      </c>
      <c r="G19" s="14">
        <f t="shared" si="6"/>
        <v>37170</v>
      </c>
      <c r="H19" s="14">
        <f t="shared" si="6"/>
        <v>42126.000000000007</v>
      </c>
      <c r="I19" s="14">
        <f t="shared" si="6"/>
        <v>44604.000000000007</v>
      </c>
      <c r="J19" s="14">
        <f t="shared" si="6"/>
        <v>49560.000000000007</v>
      </c>
      <c r="K19" s="14">
        <f t="shared" si="6"/>
        <v>49560.000000000007</v>
      </c>
      <c r="L19" s="14">
        <f t="shared" si="6"/>
        <v>49560.000000000007</v>
      </c>
      <c r="M19" s="14">
        <f t="shared" si="6"/>
        <v>49560.000000000007</v>
      </c>
      <c r="N19" s="18">
        <f t="shared" ref="N19:N33" si="7">SUM(B19:M19)</f>
        <v>470820</v>
      </c>
      <c r="P19" s="19" t="s">
        <v>37</v>
      </c>
      <c r="Q19" s="23">
        <f>IF($Q$14&gt;995,($Q$14-995)*0.5*$Q$13,0)</f>
        <v>0</v>
      </c>
    </row>
    <row r="20" spans="1:18" ht="15" customHeight="1" x14ac:dyDescent="0.3">
      <c r="A20" s="2" t="s">
        <v>39</v>
      </c>
      <c r="B20" s="14">
        <f t="shared" ref="B20:M20" si="8">IF(B8&gt;0,B8*$Q$18+B8*$Q$19,0)</f>
        <v>0</v>
      </c>
      <c r="C20" s="14">
        <f t="shared" si="8"/>
        <v>0</v>
      </c>
      <c r="D20" s="14">
        <f t="shared" si="8"/>
        <v>0</v>
      </c>
      <c r="E20" s="14">
        <f t="shared" si="8"/>
        <v>0</v>
      </c>
      <c r="F20" s="14">
        <f t="shared" si="8"/>
        <v>0</v>
      </c>
      <c r="G20" s="14">
        <f t="shared" si="8"/>
        <v>0</v>
      </c>
      <c r="H20" s="14">
        <f t="shared" si="8"/>
        <v>0</v>
      </c>
      <c r="I20" s="14">
        <f t="shared" si="8"/>
        <v>0</v>
      </c>
      <c r="J20" s="14">
        <f t="shared" si="8"/>
        <v>0</v>
      </c>
      <c r="K20" s="14">
        <f t="shared" si="8"/>
        <v>0</v>
      </c>
      <c r="L20" s="14">
        <f t="shared" si="8"/>
        <v>0</v>
      </c>
      <c r="M20" s="14">
        <f t="shared" si="8"/>
        <v>0</v>
      </c>
      <c r="N20" s="18">
        <f t="shared" si="7"/>
        <v>0</v>
      </c>
      <c r="P20" s="24"/>
      <c r="Q20" s="24"/>
      <c r="R20" s="25"/>
    </row>
    <row r="21" spans="1:18" ht="15" customHeight="1" x14ac:dyDescent="0.3">
      <c r="A21" s="2" t="s">
        <v>47</v>
      </c>
      <c r="B21" s="14">
        <f t="shared" ref="B21:M21" si="9">SUM(B13)*$S10</f>
        <v>17611.500000000004</v>
      </c>
      <c r="C21" s="14">
        <f t="shared" si="9"/>
        <v>52834.500000000007</v>
      </c>
      <c r="D21" s="14">
        <f t="shared" si="9"/>
        <v>52834.500000000007</v>
      </c>
      <c r="E21" s="14">
        <f t="shared" si="9"/>
        <v>52834.500000000007</v>
      </c>
      <c r="F21" s="14">
        <f t="shared" si="9"/>
        <v>52834.500000000007</v>
      </c>
      <c r="G21" s="14">
        <f t="shared" si="9"/>
        <v>52834.500000000007</v>
      </c>
      <c r="H21" s="14">
        <f t="shared" si="9"/>
        <v>59879.100000000006</v>
      </c>
      <c r="I21" s="14">
        <f t="shared" si="9"/>
        <v>63401.400000000009</v>
      </c>
      <c r="J21" s="14">
        <f t="shared" si="9"/>
        <v>70446.000000000015</v>
      </c>
      <c r="K21" s="14">
        <f t="shared" si="9"/>
        <v>70446.000000000015</v>
      </c>
      <c r="L21" s="14">
        <f t="shared" si="9"/>
        <v>70446.000000000015</v>
      </c>
      <c r="M21" s="14">
        <f t="shared" si="9"/>
        <v>70446.000000000015</v>
      </c>
      <c r="N21" s="18">
        <f>SUM(B21:M21)</f>
        <v>686848.50000000012</v>
      </c>
    </row>
    <row r="22" spans="1:18" ht="15" customHeight="1" x14ac:dyDescent="0.3">
      <c r="A22" s="2" t="s">
        <v>29</v>
      </c>
      <c r="B22" s="14">
        <f>(B18+B19+B20)*0.0765</f>
        <v>3986.5297500000001</v>
      </c>
      <c r="C22" s="14">
        <f t="shared" ref="C22:M22" si="10">(C18+C19+C20)*0.0765</f>
        <v>7318.7550000000001</v>
      </c>
      <c r="D22" s="14">
        <f t="shared" si="10"/>
        <v>7318.7550000000001</v>
      </c>
      <c r="E22" s="14">
        <f t="shared" si="10"/>
        <v>7318.7550000000001</v>
      </c>
      <c r="F22" s="14">
        <f t="shared" si="10"/>
        <v>7318.7550000000001</v>
      </c>
      <c r="G22" s="14">
        <f t="shared" si="10"/>
        <v>7318.7550000000001</v>
      </c>
      <c r="H22" s="14">
        <f t="shared" si="10"/>
        <v>9189.6389999999992</v>
      </c>
      <c r="I22" s="14">
        <f t="shared" si="10"/>
        <v>9379.2060000000001</v>
      </c>
      <c r="J22" s="14">
        <f t="shared" si="10"/>
        <v>9758.34</v>
      </c>
      <c r="K22" s="14">
        <f t="shared" si="10"/>
        <v>9758.34</v>
      </c>
      <c r="L22" s="14">
        <f t="shared" si="10"/>
        <v>9758.34</v>
      </c>
      <c r="M22" s="14">
        <f t="shared" si="10"/>
        <v>9758.34</v>
      </c>
      <c r="N22" s="18">
        <f t="shared" si="7"/>
        <v>98182.509749999983</v>
      </c>
    </row>
    <row r="23" spans="1:18" ht="15" customHeight="1" x14ac:dyDescent="0.3">
      <c r="A23" s="2" t="s">
        <v>61</v>
      </c>
      <c r="B23" s="14">
        <f t="shared" ref="B23:M23" si="11">SUM(B10)*700</f>
        <v>12600</v>
      </c>
      <c r="C23" s="14">
        <f t="shared" si="11"/>
        <v>23800</v>
      </c>
      <c r="D23" s="14">
        <f t="shared" si="11"/>
        <v>23800</v>
      </c>
      <c r="E23" s="14">
        <f t="shared" si="11"/>
        <v>23800</v>
      </c>
      <c r="F23" s="14">
        <f t="shared" si="11"/>
        <v>23800</v>
      </c>
      <c r="G23" s="14">
        <f t="shared" si="11"/>
        <v>23800</v>
      </c>
      <c r="H23" s="14">
        <f t="shared" si="11"/>
        <v>31500</v>
      </c>
      <c r="I23" s="14">
        <f t="shared" si="11"/>
        <v>31500</v>
      </c>
      <c r="J23" s="14">
        <f t="shared" si="11"/>
        <v>31500</v>
      </c>
      <c r="K23" s="14">
        <f t="shared" si="11"/>
        <v>31500</v>
      </c>
      <c r="L23" s="14">
        <f t="shared" si="11"/>
        <v>31500</v>
      </c>
      <c r="M23" s="14">
        <f t="shared" si="11"/>
        <v>31500</v>
      </c>
      <c r="N23" s="61">
        <f>SUM(B23:M23)</f>
        <v>320600</v>
      </c>
    </row>
    <row r="24" spans="1:18" ht="15" customHeight="1" x14ac:dyDescent="0.3">
      <c r="A24" s="2" t="s">
        <v>62</v>
      </c>
      <c r="B24" s="14">
        <f>SUM(B18:B21)*3%</f>
        <v>2091.69</v>
      </c>
      <c r="C24" s="14">
        <f t="shared" ref="C24:L24" si="12">SUM(C18:C21)*3%</f>
        <v>4455.1350000000002</v>
      </c>
      <c r="D24" s="14">
        <f t="shared" si="12"/>
        <v>4455.1350000000002</v>
      </c>
      <c r="E24" s="14">
        <f t="shared" si="12"/>
        <v>4455.1350000000002</v>
      </c>
      <c r="F24" s="14">
        <f t="shared" si="12"/>
        <v>4455.1350000000002</v>
      </c>
      <c r="G24" s="14">
        <f t="shared" si="12"/>
        <v>4455.1350000000002</v>
      </c>
      <c r="H24" s="14">
        <f>SUM(H18:H21)*3%</f>
        <v>5400.1530000000002</v>
      </c>
      <c r="I24" s="14">
        <f t="shared" si="12"/>
        <v>5580.1620000000003</v>
      </c>
      <c r="J24" s="14">
        <f t="shared" si="12"/>
        <v>5940.1799999999994</v>
      </c>
      <c r="K24" s="14">
        <f t="shared" si="12"/>
        <v>5940.1799999999994</v>
      </c>
      <c r="L24" s="14">
        <f t="shared" si="12"/>
        <v>5940.1799999999994</v>
      </c>
      <c r="M24" s="14">
        <f>SUM(M18:M21)*3%</f>
        <v>5940.1799999999994</v>
      </c>
      <c r="N24" s="61">
        <f>SUM(B24:M24)</f>
        <v>59108.400000000009</v>
      </c>
    </row>
    <row r="25" spans="1:18" ht="15" customHeight="1" x14ac:dyDescent="0.3">
      <c r="A25" s="2" t="s">
        <v>11</v>
      </c>
      <c r="B25" s="14">
        <v>800</v>
      </c>
      <c r="C25" s="14">
        <v>800</v>
      </c>
      <c r="D25" s="14">
        <f t="shared" ref="D25:M25" si="13">SUM(500*D8)</f>
        <v>9000</v>
      </c>
      <c r="E25" s="14">
        <f t="shared" si="13"/>
        <v>9000</v>
      </c>
      <c r="F25" s="14">
        <f t="shared" si="13"/>
        <v>9000</v>
      </c>
      <c r="G25" s="14">
        <f t="shared" si="13"/>
        <v>9000</v>
      </c>
      <c r="H25" s="14">
        <f t="shared" si="13"/>
        <v>12000</v>
      </c>
      <c r="I25" s="14">
        <f t="shared" si="13"/>
        <v>12000</v>
      </c>
      <c r="J25" s="14">
        <f t="shared" si="13"/>
        <v>12000</v>
      </c>
      <c r="K25" s="14">
        <f t="shared" si="13"/>
        <v>12000</v>
      </c>
      <c r="L25" s="14">
        <f t="shared" si="13"/>
        <v>12000</v>
      </c>
      <c r="M25" s="14">
        <f t="shared" si="13"/>
        <v>12000</v>
      </c>
      <c r="N25" s="18">
        <f t="shared" si="7"/>
        <v>109600</v>
      </c>
    </row>
    <row r="26" spans="1:18" ht="15" customHeight="1" x14ac:dyDescent="0.3">
      <c r="A26" s="2" t="s">
        <v>12</v>
      </c>
      <c r="B26" s="14">
        <f>39*B10+39</f>
        <v>741</v>
      </c>
      <c r="C26" s="14">
        <f t="shared" ref="C26:M26" si="14">39*C10</f>
        <v>1326</v>
      </c>
      <c r="D26" s="14">
        <f t="shared" si="14"/>
        <v>1326</v>
      </c>
      <c r="E26" s="14">
        <f t="shared" si="14"/>
        <v>1326</v>
      </c>
      <c r="F26" s="14">
        <f t="shared" si="14"/>
        <v>1326</v>
      </c>
      <c r="G26" s="14">
        <f t="shared" si="14"/>
        <v>1326</v>
      </c>
      <c r="H26" s="14">
        <f t="shared" si="14"/>
        <v>1755</v>
      </c>
      <c r="I26" s="14">
        <f t="shared" si="14"/>
        <v>1755</v>
      </c>
      <c r="J26" s="14">
        <f t="shared" si="14"/>
        <v>1755</v>
      </c>
      <c r="K26" s="14">
        <f t="shared" si="14"/>
        <v>1755</v>
      </c>
      <c r="L26" s="14">
        <f t="shared" si="14"/>
        <v>1755</v>
      </c>
      <c r="M26" s="14">
        <f t="shared" si="14"/>
        <v>1755</v>
      </c>
      <c r="N26" s="18">
        <f t="shared" si="7"/>
        <v>17901</v>
      </c>
    </row>
    <row r="27" spans="1:18" ht="15" customHeight="1" x14ac:dyDescent="0.3">
      <c r="A27" s="2" t="s">
        <v>84</v>
      </c>
      <c r="B27" s="14">
        <f t="shared" ref="B27:M27" si="15">SUM(28*B6)+(52*B7)+52</f>
        <v>460</v>
      </c>
      <c r="C27" s="14">
        <f t="shared" si="15"/>
        <v>460</v>
      </c>
      <c r="D27" s="14">
        <f t="shared" si="15"/>
        <v>460</v>
      </c>
      <c r="E27" s="14">
        <f t="shared" si="15"/>
        <v>460</v>
      </c>
      <c r="F27" s="14">
        <f t="shared" si="15"/>
        <v>460</v>
      </c>
      <c r="G27" s="14">
        <f t="shared" si="15"/>
        <v>460</v>
      </c>
      <c r="H27" s="14">
        <f t="shared" si="15"/>
        <v>596</v>
      </c>
      <c r="I27" s="14">
        <f t="shared" si="15"/>
        <v>596</v>
      </c>
      <c r="J27" s="14">
        <f t="shared" si="15"/>
        <v>596</v>
      </c>
      <c r="K27" s="14">
        <f t="shared" si="15"/>
        <v>596</v>
      </c>
      <c r="L27" s="14">
        <f t="shared" si="15"/>
        <v>596</v>
      </c>
      <c r="M27" s="14">
        <f t="shared" si="15"/>
        <v>596</v>
      </c>
      <c r="N27" s="18">
        <f t="shared" si="7"/>
        <v>6336</v>
      </c>
      <c r="P27" s="27"/>
    </row>
    <row r="28" spans="1:18" ht="15" customHeight="1" x14ac:dyDescent="0.3">
      <c r="A28" s="2" t="s">
        <v>13</v>
      </c>
      <c r="B28" s="14">
        <v>850</v>
      </c>
      <c r="C28" s="14">
        <v>850</v>
      </c>
      <c r="D28" s="14">
        <v>850</v>
      </c>
      <c r="E28" s="14">
        <v>850</v>
      </c>
      <c r="F28" s="14">
        <v>850</v>
      </c>
      <c r="G28" s="14">
        <v>850</v>
      </c>
      <c r="H28" s="14">
        <v>850</v>
      </c>
      <c r="I28" s="14">
        <v>850</v>
      </c>
      <c r="J28" s="14">
        <v>850</v>
      </c>
      <c r="K28" s="14">
        <v>850</v>
      </c>
      <c r="L28" s="14">
        <v>850</v>
      </c>
      <c r="M28" s="14">
        <v>850</v>
      </c>
      <c r="N28" s="18">
        <f t="shared" si="7"/>
        <v>10200</v>
      </c>
      <c r="P28" s="27"/>
    </row>
    <row r="29" spans="1:18" ht="15" customHeight="1" x14ac:dyDescent="0.3">
      <c r="A29" s="2" t="s">
        <v>14</v>
      </c>
      <c r="B29" s="14">
        <f>SUM(B8*500)</f>
        <v>3000</v>
      </c>
      <c r="C29" s="14">
        <v>1800</v>
      </c>
      <c r="D29" s="14">
        <v>1800</v>
      </c>
      <c r="E29" s="14">
        <f t="shared" ref="E29:M29" si="16">SUM(E8*750)</f>
        <v>13500</v>
      </c>
      <c r="F29" s="14">
        <f t="shared" si="16"/>
        <v>13500</v>
      </c>
      <c r="G29" s="14">
        <f t="shared" si="16"/>
        <v>13500</v>
      </c>
      <c r="H29" s="14">
        <f t="shared" si="16"/>
        <v>18000</v>
      </c>
      <c r="I29" s="14">
        <f t="shared" si="16"/>
        <v>18000</v>
      </c>
      <c r="J29" s="14">
        <f t="shared" si="16"/>
        <v>18000</v>
      </c>
      <c r="K29" s="14">
        <f t="shared" si="16"/>
        <v>18000</v>
      </c>
      <c r="L29" s="14">
        <f t="shared" si="16"/>
        <v>18000</v>
      </c>
      <c r="M29" s="14">
        <f t="shared" si="16"/>
        <v>18000</v>
      </c>
      <c r="N29" s="18">
        <f t="shared" si="7"/>
        <v>155100</v>
      </c>
    </row>
    <row r="30" spans="1:18" ht="15" customHeight="1" x14ac:dyDescent="0.3">
      <c r="A30" s="2" t="s">
        <v>15</v>
      </c>
      <c r="B30" s="14">
        <f t="shared" ref="B30:M30" si="17">500*B8</f>
        <v>3000</v>
      </c>
      <c r="C30" s="14">
        <f t="shared" si="17"/>
        <v>9000</v>
      </c>
      <c r="D30" s="14">
        <f t="shared" si="17"/>
        <v>9000</v>
      </c>
      <c r="E30" s="14">
        <f t="shared" si="17"/>
        <v>9000</v>
      </c>
      <c r="F30" s="14">
        <f t="shared" si="17"/>
        <v>9000</v>
      </c>
      <c r="G30" s="14">
        <f t="shared" si="17"/>
        <v>9000</v>
      </c>
      <c r="H30" s="14">
        <f t="shared" si="17"/>
        <v>12000</v>
      </c>
      <c r="I30" s="14">
        <f t="shared" si="17"/>
        <v>12000</v>
      </c>
      <c r="J30" s="14">
        <f t="shared" si="17"/>
        <v>12000</v>
      </c>
      <c r="K30" s="14">
        <f t="shared" si="17"/>
        <v>12000</v>
      </c>
      <c r="L30" s="14">
        <f t="shared" si="17"/>
        <v>12000</v>
      </c>
      <c r="M30" s="14">
        <f t="shared" si="17"/>
        <v>12000</v>
      </c>
      <c r="N30" s="18">
        <f t="shared" si="7"/>
        <v>120000</v>
      </c>
    </row>
    <row r="31" spans="1:18" ht="15" customHeight="1" x14ac:dyDescent="0.3">
      <c r="A31" s="2" t="s">
        <v>16</v>
      </c>
      <c r="B31" s="14">
        <f t="shared" ref="B31:M31" si="18">600*B8</f>
        <v>3600</v>
      </c>
      <c r="C31" s="14">
        <f t="shared" si="18"/>
        <v>10800</v>
      </c>
      <c r="D31" s="14">
        <f t="shared" si="18"/>
        <v>10800</v>
      </c>
      <c r="E31" s="14">
        <f t="shared" si="18"/>
        <v>10800</v>
      </c>
      <c r="F31" s="14">
        <f t="shared" si="18"/>
        <v>10800</v>
      </c>
      <c r="G31" s="14">
        <f t="shared" si="18"/>
        <v>10800</v>
      </c>
      <c r="H31" s="14">
        <f t="shared" si="18"/>
        <v>14400</v>
      </c>
      <c r="I31" s="14">
        <f t="shared" si="18"/>
        <v>14400</v>
      </c>
      <c r="J31" s="14">
        <f t="shared" si="18"/>
        <v>14400</v>
      </c>
      <c r="K31" s="14">
        <f t="shared" si="18"/>
        <v>14400</v>
      </c>
      <c r="L31" s="14">
        <f t="shared" si="18"/>
        <v>14400</v>
      </c>
      <c r="M31" s="14">
        <f t="shared" si="18"/>
        <v>14400</v>
      </c>
      <c r="N31" s="18">
        <f t="shared" si="7"/>
        <v>144000</v>
      </c>
    </row>
    <row r="32" spans="1:18" ht="15" customHeight="1" x14ac:dyDescent="0.3">
      <c r="A32" s="2" t="s">
        <v>17</v>
      </c>
      <c r="B32" s="14">
        <f t="shared" ref="B32:M32" si="19">25*B8</f>
        <v>150</v>
      </c>
      <c r="C32" s="14">
        <f t="shared" si="19"/>
        <v>450</v>
      </c>
      <c r="D32" s="14">
        <f t="shared" si="19"/>
        <v>450</v>
      </c>
      <c r="E32" s="14">
        <f t="shared" si="19"/>
        <v>450</v>
      </c>
      <c r="F32" s="14">
        <f t="shared" si="19"/>
        <v>450</v>
      </c>
      <c r="G32" s="14">
        <f t="shared" si="19"/>
        <v>450</v>
      </c>
      <c r="H32" s="14">
        <f t="shared" si="19"/>
        <v>600</v>
      </c>
      <c r="I32" s="14">
        <f t="shared" si="19"/>
        <v>600</v>
      </c>
      <c r="J32" s="14">
        <f t="shared" si="19"/>
        <v>600</v>
      </c>
      <c r="K32" s="14">
        <f t="shared" si="19"/>
        <v>600</v>
      </c>
      <c r="L32" s="14">
        <f t="shared" si="19"/>
        <v>600</v>
      </c>
      <c r="M32" s="14">
        <f t="shared" si="19"/>
        <v>600</v>
      </c>
      <c r="N32" s="18">
        <f t="shared" si="7"/>
        <v>6000</v>
      </c>
    </row>
    <row r="33" spans="1:15" ht="15" customHeight="1" x14ac:dyDescent="0.3">
      <c r="A33" s="2" t="s">
        <v>40</v>
      </c>
      <c r="B33" s="14">
        <f t="shared" ref="B33:M33" si="20">1800*B8</f>
        <v>10800</v>
      </c>
      <c r="C33" s="14">
        <f t="shared" si="20"/>
        <v>32400</v>
      </c>
      <c r="D33" s="14">
        <f t="shared" si="20"/>
        <v>32400</v>
      </c>
      <c r="E33" s="14">
        <f t="shared" si="20"/>
        <v>32400</v>
      </c>
      <c r="F33" s="14">
        <f t="shared" si="20"/>
        <v>32400</v>
      </c>
      <c r="G33" s="14">
        <f t="shared" si="20"/>
        <v>32400</v>
      </c>
      <c r="H33" s="14">
        <f t="shared" si="20"/>
        <v>43200</v>
      </c>
      <c r="I33" s="14">
        <f t="shared" si="20"/>
        <v>43200</v>
      </c>
      <c r="J33" s="14">
        <f t="shared" si="20"/>
        <v>43200</v>
      </c>
      <c r="K33" s="14">
        <f t="shared" si="20"/>
        <v>43200</v>
      </c>
      <c r="L33" s="14">
        <f t="shared" si="20"/>
        <v>43200</v>
      </c>
      <c r="M33" s="14">
        <f t="shared" si="20"/>
        <v>43200</v>
      </c>
      <c r="N33" s="18">
        <f t="shared" si="7"/>
        <v>432000</v>
      </c>
    </row>
    <row r="34" spans="1:15" ht="15" customHeight="1" x14ac:dyDescent="0.3">
      <c r="A34" s="2" t="s">
        <v>54</v>
      </c>
      <c r="B34" s="14">
        <f t="shared" ref="B34:M34" si="21">SUM(B13*4%)</f>
        <v>1194</v>
      </c>
      <c r="C34" s="14">
        <f t="shared" si="21"/>
        <v>3582</v>
      </c>
      <c r="D34" s="14">
        <f t="shared" si="21"/>
        <v>3582</v>
      </c>
      <c r="E34" s="14">
        <f t="shared" si="21"/>
        <v>3582</v>
      </c>
      <c r="F34" s="14">
        <f t="shared" si="21"/>
        <v>3582</v>
      </c>
      <c r="G34" s="14">
        <f t="shared" si="21"/>
        <v>3582</v>
      </c>
      <c r="H34" s="14">
        <f t="shared" si="21"/>
        <v>4059.6</v>
      </c>
      <c r="I34" s="14">
        <f t="shared" si="21"/>
        <v>4298.3999999999996</v>
      </c>
      <c r="J34" s="14">
        <f t="shared" si="21"/>
        <v>4776</v>
      </c>
      <c r="K34" s="14">
        <f t="shared" si="21"/>
        <v>4776</v>
      </c>
      <c r="L34" s="14">
        <f t="shared" si="21"/>
        <v>4776</v>
      </c>
      <c r="M34" s="14">
        <f t="shared" si="21"/>
        <v>4776</v>
      </c>
      <c r="N34" s="18">
        <f>SUM(B34:M34)</f>
        <v>46566</v>
      </c>
    </row>
    <row r="35" spans="1:15" ht="15" customHeight="1" x14ac:dyDescent="0.3">
      <c r="A35" s="82" t="s">
        <v>81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8"/>
    </row>
    <row r="36" spans="1:15" ht="15" customHeight="1" x14ac:dyDescent="0.3">
      <c r="A36" s="3" t="s">
        <v>82</v>
      </c>
      <c r="B36" s="14">
        <v>500</v>
      </c>
      <c r="C36" s="14">
        <f>SUM(C8)*50</f>
        <v>900</v>
      </c>
      <c r="D36" s="14">
        <f t="shared" ref="D36:M36" si="22">SUM(D8)*50</f>
        <v>900</v>
      </c>
      <c r="E36" s="14">
        <f t="shared" si="22"/>
        <v>900</v>
      </c>
      <c r="F36" s="14">
        <f t="shared" si="22"/>
        <v>900</v>
      </c>
      <c r="G36" s="14">
        <f t="shared" si="22"/>
        <v>900</v>
      </c>
      <c r="H36" s="14">
        <f t="shared" si="22"/>
        <v>1200</v>
      </c>
      <c r="I36" s="14">
        <f t="shared" si="22"/>
        <v>1200</v>
      </c>
      <c r="J36" s="14">
        <f t="shared" si="22"/>
        <v>1200</v>
      </c>
      <c r="K36" s="14">
        <f t="shared" si="22"/>
        <v>1200</v>
      </c>
      <c r="L36" s="14">
        <f t="shared" si="22"/>
        <v>1200</v>
      </c>
      <c r="M36" s="14">
        <f t="shared" si="22"/>
        <v>1200</v>
      </c>
      <c r="N36" s="15">
        <f t="shared" ref="N36:N37" si="23">SUM(B36:M36)</f>
        <v>12200</v>
      </c>
      <c r="O36" s="25"/>
    </row>
    <row r="37" spans="1:15" ht="15" customHeight="1" x14ac:dyDescent="0.3">
      <c r="A37" s="3" t="s">
        <v>83</v>
      </c>
      <c r="B37" s="14"/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1000</v>
      </c>
      <c r="I37" s="14">
        <v>0</v>
      </c>
      <c r="J37" s="14">
        <v>0</v>
      </c>
      <c r="K37" s="14">
        <v>0</v>
      </c>
      <c r="L37" s="14"/>
      <c r="M37" s="14"/>
      <c r="N37" s="15">
        <f t="shared" si="23"/>
        <v>1000</v>
      </c>
    </row>
    <row r="38" spans="1:15" ht="15" customHeight="1" x14ac:dyDescent="0.3">
      <c r="A38" s="3" t="s">
        <v>85</v>
      </c>
      <c r="B38" s="14"/>
      <c r="C38" s="14">
        <f>SUM(C8*105)</f>
        <v>1890</v>
      </c>
      <c r="D38" s="14">
        <v>0</v>
      </c>
      <c r="E38" s="14">
        <v>0</v>
      </c>
      <c r="F38" s="14">
        <v>0</v>
      </c>
      <c r="G38" s="14">
        <v>0</v>
      </c>
      <c r="H38" s="14">
        <f>SUM(H8*105)</f>
        <v>2520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5">
        <f t="shared" ref="N38:N40" si="24">SUM(B38:M38)</f>
        <v>4410</v>
      </c>
    </row>
    <row r="39" spans="1:15" ht="15" customHeight="1" x14ac:dyDescent="0.3">
      <c r="A39" s="3" t="s">
        <v>86</v>
      </c>
      <c r="B39" s="14">
        <f>SUM(B9*56)</f>
        <v>0</v>
      </c>
      <c r="C39" s="14"/>
      <c r="D39" s="14"/>
      <c r="E39" s="14"/>
      <c r="F39" s="14"/>
      <c r="G39" s="14"/>
      <c r="H39" s="14">
        <f>SUM(H9*105)</f>
        <v>420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5">
        <f t="shared" si="24"/>
        <v>420</v>
      </c>
    </row>
    <row r="40" spans="1:15" ht="15" customHeight="1" x14ac:dyDescent="0.3">
      <c r="A40" s="3" t="s">
        <v>87</v>
      </c>
      <c r="B40" s="14">
        <f>SUM(B5*105)</f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5">
        <f t="shared" si="24"/>
        <v>0</v>
      </c>
      <c r="O40" s="69"/>
    </row>
    <row r="41" spans="1:15" ht="15" customHeight="1" x14ac:dyDescent="0.3">
      <c r="A41" s="6" t="s">
        <v>8</v>
      </c>
      <c r="B41" s="15">
        <f t="shared" ref="B41:M41" si="25">SUM(B18:B34)</f>
        <v>112996.21975</v>
      </c>
      <c r="C41" s="15">
        <f t="shared" si="25"/>
        <v>245546.39</v>
      </c>
      <c r="D41" s="15">
        <f t="shared" si="25"/>
        <v>253746.39</v>
      </c>
      <c r="E41" s="15">
        <f t="shared" si="25"/>
        <v>265446.39</v>
      </c>
      <c r="F41" s="15">
        <f t="shared" si="25"/>
        <v>265446.39</v>
      </c>
      <c r="G41" s="15">
        <f t="shared" si="25"/>
        <v>265446.39</v>
      </c>
      <c r="H41" s="15">
        <f t="shared" si="25"/>
        <v>333555.49199999997</v>
      </c>
      <c r="I41" s="15">
        <f t="shared" si="25"/>
        <v>340164.16800000006</v>
      </c>
      <c r="J41" s="15">
        <f t="shared" si="25"/>
        <v>353381.52</v>
      </c>
      <c r="K41" s="15">
        <f t="shared" si="25"/>
        <v>353381.52</v>
      </c>
      <c r="L41" s="15">
        <f t="shared" si="25"/>
        <v>353381.52</v>
      </c>
      <c r="M41" s="15">
        <f t="shared" si="25"/>
        <v>353381.52</v>
      </c>
      <c r="N41" s="18">
        <f>SUM(N21:N34)</f>
        <v>2212442.4097500001</v>
      </c>
    </row>
    <row r="42" spans="1:15" ht="15" customHeight="1" x14ac:dyDescent="0.3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</row>
    <row r="43" spans="1:15" ht="15" customHeight="1" x14ac:dyDescent="0.3">
      <c r="A43" s="11" t="s">
        <v>33</v>
      </c>
      <c r="B43" s="15">
        <f t="shared" ref="B43:M43" si="26">B15-B41</f>
        <v>624853.78024999995</v>
      </c>
      <c r="C43" s="15">
        <f t="shared" si="26"/>
        <v>1968003.6099999999</v>
      </c>
      <c r="D43" s="15">
        <f t="shared" si="26"/>
        <v>1959803.6099999999</v>
      </c>
      <c r="E43" s="15">
        <f t="shared" si="26"/>
        <v>1948103.6099999999</v>
      </c>
      <c r="F43" s="15">
        <f t="shared" si="26"/>
        <v>1948103.6099999999</v>
      </c>
      <c r="G43" s="15">
        <f t="shared" si="26"/>
        <v>1948103.6099999999</v>
      </c>
      <c r="H43" s="15">
        <f t="shared" si="26"/>
        <v>2175134.5079999999</v>
      </c>
      <c r="I43" s="15">
        <f t="shared" si="26"/>
        <v>2316095.8319999999</v>
      </c>
      <c r="J43" s="15">
        <f t="shared" si="26"/>
        <v>2598018.48</v>
      </c>
      <c r="K43" s="15">
        <f t="shared" si="26"/>
        <v>2598018.48</v>
      </c>
      <c r="L43" s="15">
        <f t="shared" si="26"/>
        <v>2598018.48</v>
      </c>
      <c r="M43" s="15">
        <f t="shared" si="26"/>
        <v>2598018.48</v>
      </c>
      <c r="N43" s="18">
        <f t="shared" ref="N43" si="27">SUM(B43:M43)</f>
        <v>25280276.09025</v>
      </c>
    </row>
    <row r="44" spans="1:15" ht="15" customHeight="1" x14ac:dyDescent="0.3">
      <c r="A44" s="1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8"/>
    </row>
    <row r="45" spans="1:15" ht="15" customHeight="1" x14ac:dyDescent="0.3"/>
    <row r="46" spans="1:15" ht="15" customHeight="1" x14ac:dyDescent="0.3">
      <c r="A46" s="10" t="s">
        <v>18</v>
      </c>
      <c r="O46" s="69"/>
    </row>
    <row r="47" spans="1:15" ht="15" customHeight="1" x14ac:dyDescent="0.3">
      <c r="A47" s="2" t="s">
        <v>19</v>
      </c>
      <c r="B47" s="14">
        <f>SUM('FE Sales YR 3'!M51)</f>
        <v>9130214.5985209011</v>
      </c>
      <c r="C47" s="14">
        <f>B51</f>
        <v>9327115.3787709009</v>
      </c>
      <c r="D47" s="14">
        <f t="shared" ref="D47:M47" si="28">C51</f>
        <v>10256806.378770901</v>
      </c>
      <c r="E47" s="14">
        <f t="shared" si="28"/>
        <v>11186497.378770901</v>
      </c>
      <c r="F47" s="14">
        <f t="shared" si="28"/>
        <v>11456033.701389603</v>
      </c>
      <c r="G47" s="14">
        <f t="shared" si="28"/>
        <v>12385724.701389603</v>
      </c>
      <c r="H47" s="14">
        <f t="shared" si="28"/>
        <v>13315415.701389603</v>
      </c>
      <c r="I47" s="14">
        <f t="shared" si="28"/>
        <v>14369065.501389604</v>
      </c>
      <c r="J47" s="14">
        <f t="shared" si="28"/>
        <v>15484694.701389603</v>
      </c>
      <c r="K47" s="14">
        <f t="shared" si="28"/>
        <v>16724282.701389603</v>
      </c>
      <c r="L47" s="14">
        <f t="shared" si="28"/>
        <v>17963870.701389603</v>
      </c>
      <c r="M47" s="14">
        <f t="shared" si="28"/>
        <v>19203458.701389603</v>
      </c>
      <c r="O47" s="69"/>
    </row>
    <row r="48" spans="1:15" ht="15" customHeight="1" x14ac:dyDescent="0.3">
      <c r="A48" s="2" t="s">
        <v>20</v>
      </c>
      <c r="B48" s="14">
        <f>B43+B47</f>
        <v>9755068.3787709009</v>
      </c>
      <c r="C48" s="14">
        <f t="shared" ref="C48:M48" si="29">C15+C47</f>
        <v>11540665.378770901</v>
      </c>
      <c r="D48" s="14">
        <f t="shared" si="29"/>
        <v>12470356.378770901</v>
      </c>
      <c r="E48" s="14">
        <f t="shared" si="29"/>
        <v>13400047.378770901</v>
      </c>
      <c r="F48" s="14">
        <f t="shared" si="29"/>
        <v>13669583.701389603</v>
      </c>
      <c r="G48" s="14">
        <f t="shared" si="29"/>
        <v>14599274.701389603</v>
      </c>
      <c r="H48" s="14">
        <f t="shared" si="29"/>
        <v>15824105.701389603</v>
      </c>
      <c r="I48" s="14">
        <f t="shared" si="29"/>
        <v>17025325.501389604</v>
      </c>
      <c r="J48" s="14">
        <f t="shared" si="29"/>
        <v>18436094.701389603</v>
      </c>
      <c r="K48" s="14">
        <f t="shared" si="29"/>
        <v>19675682.701389603</v>
      </c>
      <c r="L48" s="14">
        <f t="shared" si="29"/>
        <v>20915270.701389603</v>
      </c>
      <c r="M48" s="14">
        <f t="shared" si="29"/>
        <v>22154858.701389603</v>
      </c>
    </row>
    <row r="49" spans="1:20" ht="15" customHeight="1" x14ac:dyDescent="0.3">
      <c r="A49" s="3" t="s">
        <v>77</v>
      </c>
      <c r="B49" s="29">
        <f>SUM(B76:B80)</f>
        <v>427953</v>
      </c>
      <c r="C49" s="29">
        <f t="shared" ref="C49:M49" si="30">SUM(C76:C80)</f>
        <v>1283859</v>
      </c>
      <c r="D49" s="29">
        <f t="shared" si="30"/>
        <v>1283859</v>
      </c>
      <c r="E49" s="29">
        <f t="shared" si="30"/>
        <v>1283859</v>
      </c>
      <c r="F49" s="29">
        <f t="shared" si="30"/>
        <v>1283859</v>
      </c>
      <c r="G49" s="29">
        <f t="shared" si="30"/>
        <v>1283859</v>
      </c>
      <c r="H49" s="29">
        <f t="shared" si="30"/>
        <v>1455040.2</v>
      </c>
      <c r="I49" s="29">
        <f t="shared" si="30"/>
        <v>1540630.8</v>
      </c>
      <c r="J49" s="29">
        <f t="shared" si="30"/>
        <v>1711812</v>
      </c>
      <c r="K49" s="29">
        <f t="shared" si="30"/>
        <v>1711812</v>
      </c>
      <c r="L49" s="29">
        <f t="shared" si="30"/>
        <v>1711812</v>
      </c>
      <c r="M49" s="29">
        <f t="shared" si="30"/>
        <v>1711812</v>
      </c>
    </row>
    <row r="50" spans="1:20" ht="15" customHeight="1" x14ac:dyDescent="0.3">
      <c r="A50" s="3" t="s">
        <v>79</v>
      </c>
      <c r="B50" s="29">
        <v>0</v>
      </c>
      <c r="C50" s="29">
        <v>0</v>
      </c>
      <c r="D50" s="29">
        <v>0</v>
      </c>
      <c r="E50" s="29">
        <f>SUM('FE Sales YR 3'!S75)</f>
        <v>660154.67738129827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P50" s="52"/>
      <c r="Q50" s="52" t="s">
        <v>69</v>
      </c>
      <c r="R50" s="52" t="s">
        <v>65</v>
      </c>
      <c r="S50" s="62" t="s">
        <v>67</v>
      </c>
      <c r="T50" s="62" t="s">
        <v>66</v>
      </c>
    </row>
    <row r="51" spans="1:20" ht="15" customHeight="1" x14ac:dyDescent="0.3">
      <c r="A51" s="3" t="s">
        <v>80</v>
      </c>
      <c r="B51" s="76">
        <f>SUM(B48)-B49-B50</f>
        <v>9327115.3787709009</v>
      </c>
      <c r="C51" s="76">
        <f t="shared" ref="C51:M51" si="31">SUM(C48)-C49-C50</f>
        <v>10256806.378770901</v>
      </c>
      <c r="D51" s="76">
        <f t="shared" si="31"/>
        <v>11186497.378770901</v>
      </c>
      <c r="E51" s="76">
        <f t="shared" si="31"/>
        <v>11456033.701389603</v>
      </c>
      <c r="F51" s="76">
        <f t="shared" si="31"/>
        <v>12385724.701389603</v>
      </c>
      <c r="G51" s="76">
        <f t="shared" si="31"/>
        <v>13315415.701389603</v>
      </c>
      <c r="H51" s="76">
        <f t="shared" si="31"/>
        <v>14369065.501389604</v>
      </c>
      <c r="I51" s="76">
        <f t="shared" si="31"/>
        <v>15484694.701389603</v>
      </c>
      <c r="J51" s="76">
        <f t="shared" si="31"/>
        <v>16724282.701389603</v>
      </c>
      <c r="K51" s="76">
        <f t="shared" si="31"/>
        <v>17963870.701389603</v>
      </c>
      <c r="L51" s="76">
        <f t="shared" si="31"/>
        <v>19203458.701389603</v>
      </c>
      <c r="M51" s="76">
        <f t="shared" si="31"/>
        <v>20443046.701389603</v>
      </c>
      <c r="P51" s="50" t="s">
        <v>1</v>
      </c>
      <c r="Q51" s="74">
        <f>SUM(N65)/N5</f>
        <v>503582.625</v>
      </c>
      <c r="R51" s="51">
        <v>8400</v>
      </c>
      <c r="S51" s="51">
        <f>SUM(N65*3%)/N5</f>
        <v>15107.47875</v>
      </c>
      <c r="T51" s="49">
        <f>SUM(Q51:S51)/12</f>
        <v>43924.175312500003</v>
      </c>
    </row>
    <row r="52" spans="1:20" ht="15" customHeight="1" x14ac:dyDescent="0.3">
      <c r="P52" s="50" t="s">
        <v>2</v>
      </c>
      <c r="Q52" s="74">
        <f>SUM(N66)/10.5</f>
        <v>64257.321428571428</v>
      </c>
      <c r="R52" s="51">
        <v>8400</v>
      </c>
      <c r="S52" s="51">
        <f>SUM(N66*3%)/N6</f>
        <v>1686.7546874999998</v>
      </c>
      <c r="T52" s="49">
        <f t="shared" ref="T52:T55" si="32">SUM(Q52:S52)/12</f>
        <v>6195.3396763392848</v>
      </c>
    </row>
    <row r="53" spans="1:20" ht="15" customHeight="1" x14ac:dyDescent="0.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P53" s="50" t="s">
        <v>4</v>
      </c>
      <c r="Q53" s="74">
        <f>SUM(N67)/3.5</f>
        <v>82217.571428571435</v>
      </c>
      <c r="R53" s="51">
        <v>8400</v>
      </c>
      <c r="S53" s="51">
        <f>SUM(N67*3%)/N7</f>
        <v>2158.2112499999998</v>
      </c>
      <c r="T53" s="49">
        <f t="shared" si="32"/>
        <v>7731.3152232142857</v>
      </c>
    </row>
    <row r="54" spans="1:20" ht="15" customHeight="1" x14ac:dyDescent="0.3">
      <c r="P54" s="50" t="s">
        <v>3</v>
      </c>
      <c r="Q54" s="74">
        <f>SUM(N68)/21</f>
        <v>103169.28571428571</v>
      </c>
      <c r="R54" s="51">
        <v>8400</v>
      </c>
      <c r="S54" s="51">
        <f>SUM(N68*3%)/N8</f>
        <v>2708.1937499999999</v>
      </c>
      <c r="T54" s="49">
        <f t="shared" si="32"/>
        <v>9523.1232886904763</v>
      </c>
    </row>
    <row r="55" spans="1:20" ht="15" customHeight="1" x14ac:dyDescent="0.3">
      <c r="A55" s="10" t="s">
        <v>41</v>
      </c>
      <c r="P55" s="50" t="s">
        <v>5</v>
      </c>
      <c r="Q55" s="74">
        <f>SUM(N69)/3.5</f>
        <v>154690.71428571429</v>
      </c>
      <c r="R55" s="51">
        <v>8400</v>
      </c>
      <c r="S55" s="51">
        <f>SUM(N69*3%)/N9</f>
        <v>4060.6312499999999</v>
      </c>
      <c r="T55" s="49">
        <f t="shared" si="32"/>
        <v>13929.278794642858</v>
      </c>
    </row>
    <row r="56" spans="1:20" ht="15" customHeight="1" x14ac:dyDescent="0.3">
      <c r="A56" s="2" t="s">
        <v>1</v>
      </c>
      <c r="B56" s="34">
        <f t="shared" ref="B56:M56" si="33">SUM(B65)/B15</f>
        <v>1.7500000000000002E-2</v>
      </c>
      <c r="C56" s="34">
        <f t="shared" si="33"/>
        <v>1.7500000000000002E-2</v>
      </c>
      <c r="D56" s="34">
        <f t="shared" si="33"/>
        <v>1.7500000000000002E-2</v>
      </c>
      <c r="E56" s="34">
        <f t="shared" si="33"/>
        <v>1.7500000000000002E-2</v>
      </c>
      <c r="F56" s="34">
        <f t="shared" si="33"/>
        <v>1.7500000000000002E-2</v>
      </c>
      <c r="G56" s="34">
        <f t="shared" si="33"/>
        <v>1.7500000000000002E-2</v>
      </c>
      <c r="H56" s="34">
        <f t="shared" si="33"/>
        <v>1.7500000000000002E-2</v>
      </c>
      <c r="I56" s="34">
        <f t="shared" si="33"/>
        <v>1.7500000000000005E-2</v>
      </c>
      <c r="J56" s="34">
        <f t="shared" si="33"/>
        <v>1.7500000000000002E-2</v>
      </c>
      <c r="K56" s="34">
        <f t="shared" si="33"/>
        <v>1.7500000000000002E-2</v>
      </c>
      <c r="L56" s="34">
        <f t="shared" si="33"/>
        <v>1.7500000000000002E-2</v>
      </c>
      <c r="M56" s="34">
        <f t="shared" si="33"/>
        <v>1.7500000000000002E-2</v>
      </c>
    </row>
    <row r="57" spans="1:20" ht="15" customHeight="1" x14ac:dyDescent="0.3">
      <c r="A57" s="2" t="s">
        <v>2</v>
      </c>
      <c r="B57" s="34">
        <f t="shared" ref="B57:M57" si="34">SUM(B66)/B15</f>
        <v>4.2994002846106931E-2</v>
      </c>
      <c r="C57" s="34">
        <f t="shared" si="34"/>
        <v>2.2664667615368977E-2</v>
      </c>
      <c r="D57" s="34">
        <f t="shared" si="34"/>
        <v>2.2664667615368977E-2</v>
      </c>
      <c r="E57" s="34">
        <f t="shared" si="34"/>
        <v>2.2664667615368977E-2</v>
      </c>
      <c r="F57" s="34">
        <f t="shared" si="34"/>
        <v>2.2664667615368977E-2</v>
      </c>
      <c r="G57" s="34">
        <f t="shared" si="34"/>
        <v>2.2664667615368977E-2</v>
      </c>
      <c r="H57" s="34">
        <f t="shared" si="34"/>
        <v>2.4458432488669385E-2</v>
      </c>
      <c r="I57" s="34">
        <f t="shared" si="34"/>
        <v>2.3794075128187753E-2</v>
      </c>
      <c r="J57" s="34">
        <f t="shared" si="34"/>
        <v>2.2664667615368977E-2</v>
      </c>
      <c r="K57" s="34">
        <f t="shared" si="34"/>
        <v>2.2664667615368977E-2</v>
      </c>
      <c r="L57" s="34">
        <f t="shared" si="34"/>
        <v>2.2664667615368977E-2</v>
      </c>
      <c r="M57" s="34">
        <f t="shared" si="34"/>
        <v>2.2664667615368977E-2</v>
      </c>
    </row>
    <row r="58" spans="1:20" ht="15" customHeight="1" x14ac:dyDescent="0.3">
      <c r="A58" s="2" t="s">
        <v>4</v>
      </c>
      <c r="B58" s="34">
        <f t="shared" ref="B58:M58" si="35">SUM(B67)/B$15</f>
        <v>0.01</v>
      </c>
      <c r="C58" s="34">
        <f t="shared" si="35"/>
        <v>0.01</v>
      </c>
      <c r="D58" s="34">
        <f t="shared" si="35"/>
        <v>0.01</v>
      </c>
      <c r="E58" s="34">
        <f t="shared" si="35"/>
        <v>0.01</v>
      </c>
      <c r="F58" s="34">
        <f t="shared" si="35"/>
        <v>0.01</v>
      </c>
      <c r="G58" s="34">
        <f t="shared" si="35"/>
        <v>0.01</v>
      </c>
      <c r="H58" s="34">
        <f t="shared" si="35"/>
        <v>0.01</v>
      </c>
      <c r="I58" s="34">
        <f t="shared" si="35"/>
        <v>0.01</v>
      </c>
      <c r="J58" s="34">
        <f t="shared" si="35"/>
        <v>0.01</v>
      </c>
      <c r="K58" s="34">
        <f t="shared" si="35"/>
        <v>0.01</v>
      </c>
      <c r="L58" s="34">
        <f t="shared" si="35"/>
        <v>0.01</v>
      </c>
      <c r="M58" s="34">
        <f t="shared" si="35"/>
        <v>0.01</v>
      </c>
    </row>
    <row r="59" spans="1:20" ht="15" customHeight="1" x14ac:dyDescent="0.3">
      <c r="A59" s="2" t="s">
        <v>3</v>
      </c>
      <c r="B59" s="34">
        <f t="shared" ref="B59:M59" si="36">SUM(B68)/B$15</f>
        <v>7.4872941654807887E-2</v>
      </c>
      <c r="C59" s="34">
        <f t="shared" si="36"/>
        <v>7.4872941654807887E-2</v>
      </c>
      <c r="D59" s="34">
        <f t="shared" si="36"/>
        <v>7.4872941654807887E-2</v>
      </c>
      <c r="E59" s="34">
        <f t="shared" si="36"/>
        <v>7.4872941654807887E-2</v>
      </c>
      <c r="F59" s="34">
        <f t="shared" si="36"/>
        <v>7.4872941654807887E-2</v>
      </c>
      <c r="G59" s="34">
        <f t="shared" si="36"/>
        <v>7.4872941654807887E-2</v>
      </c>
      <c r="H59" s="34">
        <f t="shared" si="36"/>
        <v>7.7742965452088544E-2</v>
      </c>
      <c r="I59" s="34">
        <f t="shared" si="36"/>
        <v>7.6679993675317928E-2</v>
      </c>
      <c r="J59" s="34">
        <f t="shared" si="36"/>
        <v>7.4872941654807887E-2</v>
      </c>
      <c r="K59" s="34">
        <f t="shared" si="36"/>
        <v>7.4872941654807887E-2</v>
      </c>
      <c r="L59" s="34">
        <f t="shared" si="36"/>
        <v>7.4872941654807887E-2</v>
      </c>
      <c r="M59" s="34">
        <f t="shared" si="36"/>
        <v>7.4872941654807887E-2</v>
      </c>
    </row>
    <row r="60" spans="1:20" ht="15" customHeight="1" x14ac:dyDescent="0.3">
      <c r="A60" s="2" t="s">
        <v>5</v>
      </c>
      <c r="B60" s="34">
        <f t="shared" ref="B60:M60" si="37">SUM(B69)/B$15</f>
        <v>1.8814799756047981E-2</v>
      </c>
      <c r="C60" s="34">
        <f t="shared" si="37"/>
        <v>1.8814799756047978E-2</v>
      </c>
      <c r="D60" s="34">
        <f t="shared" si="37"/>
        <v>1.8814799756047978E-2</v>
      </c>
      <c r="E60" s="34">
        <f t="shared" si="37"/>
        <v>1.8814799756047978E-2</v>
      </c>
      <c r="F60" s="34">
        <f t="shared" si="37"/>
        <v>1.8814799756047978E-2</v>
      </c>
      <c r="G60" s="34">
        <f t="shared" si="37"/>
        <v>1.8814799756047978E-2</v>
      </c>
      <c r="H60" s="34">
        <f t="shared" si="37"/>
        <v>1.8814799756047981E-2</v>
      </c>
      <c r="I60" s="34">
        <f t="shared" si="37"/>
        <v>1.8814799756047981E-2</v>
      </c>
      <c r="J60" s="34">
        <f t="shared" si="37"/>
        <v>1.8814799756047981E-2</v>
      </c>
      <c r="K60" s="34">
        <f t="shared" si="37"/>
        <v>1.8814799756047981E-2</v>
      </c>
      <c r="L60" s="34">
        <f t="shared" si="37"/>
        <v>1.8814799756047981E-2</v>
      </c>
      <c r="M60" s="34">
        <f t="shared" si="37"/>
        <v>1.8814799756047981E-2</v>
      </c>
    </row>
    <row r="61" spans="1:20" ht="15" customHeight="1" x14ac:dyDescent="0.3">
      <c r="A61" s="31" t="s">
        <v>8</v>
      </c>
      <c r="B61" s="35">
        <f t="shared" ref="B61:M61" si="38">SUM(B56:B60)</f>
        <v>0.1641817442569628</v>
      </c>
      <c r="C61" s="35">
        <f t="shared" si="38"/>
        <v>0.14385240902622484</v>
      </c>
      <c r="D61" s="35">
        <f t="shared" si="38"/>
        <v>0.14385240902622484</v>
      </c>
      <c r="E61" s="35">
        <f t="shared" si="38"/>
        <v>0.14385240902622484</v>
      </c>
      <c r="F61" s="35">
        <f t="shared" si="38"/>
        <v>0.14385240902622484</v>
      </c>
      <c r="G61" s="35">
        <f t="shared" si="38"/>
        <v>0.14385240902622484</v>
      </c>
      <c r="H61" s="35">
        <f t="shared" si="38"/>
        <v>0.14851619769680591</v>
      </c>
      <c r="I61" s="35">
        <f t="shared" si="38"/>
        <v>0.1467888685595537</v>
      </c>
      <c r="J61" s="35">
        <f t="shared" si="38"/>
        <v>0.14385240902622487</v>
      </c>
      <c r="K61" s="35">
        <f t="shared" si="38"/>
        <v>0.14385240902622487</v>
      </c>
      <c r="L61" s="35">
        <f t="shared" si="38"/>
        <v>0.14385240902622487</v>
      </c>
      <c r="M61" s="35">
        <f t="shared" si="38"/>
        <v>0.14385240902622487</v>
      </c>
    </row>
    <row r="62" spans="1:20" ht="15" customHeight="1" x14ac:dyDescent="0.3">
      <c r="A62" s="37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20" ht="15" customHeight="1" x14ac:dyDescent="0.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20" ht="15" customHeight="1" x14ac:dyDescent="0.3">
      <c r="A64" s="28" t="s">
        <v>42</v>
      </c>
    </row>
    <row r="65" spans="1:19" ht="15" customHeight="1" x14ac:dyDescent="0.3">
      <c r="A65" s="2" t="s">
        <v>1</v>
      </c>
      <c r="B65" s="14">
        <f t="shared" ref="B65:M65" si="39">SUM(B5*$Q5)+(B14*$R5)+(B13*$S5)</f>
        <v>12912.375000000002</v>
      </c>
      <c r="C65" s="14">
        <f t="shared" si="39"/>
        <v>38737.125</v>
      </c>
      <c r="D65" s="14">
        <f t="shared" si="39"/>
        <v>38737.125</v>
      </c>
      <c r="E65" s="14">
        <f t="shared" si="39"/>
        <v>38737.125</v>
      </c>
      <c r="F65" s="14">
        <f t="shared" si="39"/>
        <v>38737.125</v>
      </c>
      <c r="G65" s="14">
        <f t="shared" si="39"/>
        <v>38737.125</v>
      </c>
      <c r="H65" s="14">
        <f t="shared" si="39"/>
        <v>43902.075000000004</v>
      </c>
      <c r="I65" s="14">
        <f t="shared" si="39"/>
        <v>46484.55000000001</v>
      </c>
      <c r="J65" s="14">
        <f t="shared" si="39"/>
        <v>51649.500000000007</v>
      </c>
      <c r="K65" s="14">
        <f t="shared" si="39"/>
        <v>51649.500000000007</v>
      </c>
      <c r="L65" s="14">
        <f t="shared" si="39"/>
        <v>51649.500000000007</v>
      </c>
      <c r="M65" s="14">
        <f t="shared" si="39"/>
        <v>51649.500000000007</v>
      </c>
      <c r="N65" s="32">
        <f>SUM(B65:M65)</f>
        <v>503582.625</v>
      </c>
    </row>
    <row r="66" spans="1:19" ht="15" customHeight="1" x14ac:dyDescent="0.3">
      <c r="A66" s="2" t="s">
        <v>2</v>
      </c>
      <c r="B66" s="14">
        <f t="shared" ref="B66:M66" si="40">SUM(B6*$Q6)+(B$13*$S6)+(B$14*$R6)</f>
        <v>31723.125</v>
      </c>
      <c r="C66" s="14">
        <f t="shared" si="40"/>
        <v>50169.375</v>
      </c>
      <c r="D66" s="14">
        <f t="shared" si="40"/>
        <v>50169.375</v>
      </c>
      <c r="E66" s="14">
        <f t="shared" si="40"/>
        <v>50169.375</v>
      </c>
      <c r="F66" s="14">
        <f t="shared" si="40"/>
        <v>50169.375</v>
      </c>
      <c r="G66" s="14">
        <f t="shared" si="40"/>
        <v>50169.375</v>
      </c>
      <c r="H66" s="14">
        <f t="shared" si="40"/>
        <v>61358.625</v>
      </c>
      <c r="I66" s="14">
        <f t="shared" si="40"/>
        <v>63203.25</v>
      </c>
      <c r="J66" s="14">
        <f t="shared" si="40"/>
        <v>66892.5</v>
      </c>
      <c r="K66" s="14">
        <f t="shared" si="40"/>
        <v>66892.5</v>
      </c>
      <c r="L66" s="14">
        <f t="shared" si="40"/>
        <v>66892.5</v>
      </c>
      <c r="M66" s="14">
        <f t="shared" si="40"/>
        <v>66892.5</v>
      </c>
      <c r="N66" s="32">
        <f>SUM(B66:M66)</f>
        <v>674701.875</v>
      </c>
    </row>
    <row r="67" spans="1:19" ht="15" customHeight="1" x14ac:dyDescent="0.3">
      <c r="A67" s="2" t="s">
        <v>4</v>
      </c>
      <c r="B67" s="14">
        <f t="shared" ref="B67:M67" si="41">SUM(B7*$Q7)+(B$13*$S7)+(B$14*$R7)</f>
        <v>7378.5</v>
      </c>
      <c r="C67" s="14">
        <f t="shared" si="41"/>
        <v>22135.5</v>
      </c>
      <c r="D67" s="14">
        <f t="shared" si="41"/>
        <v>22135.5</v>
      </c>
      <c r="E67" s="14">
        <f t="shared" si="41"/>
        <v>22135.5</v>
      </c>
      <c r="F67" s="14">
        <f t="shared" si="41"/>
        <v>22135.5</v>
      </c>
      <c r="G67" s="14">
        <f t="shared" si="41"/>
        <v>22135.5</v>
      </c>
      <c r="H67" s="14">
        <f t="shared" si="41"/>
        <v>25086.9</v>
      </c>
      <c r="I67" s="14">
        <f t="shared" si="41"/>
        <v>26562.6</v>
      </c>
      <c r="J67" s="14">
        <f t="shared" si="41"/>
        <v>29514</v>
      </c>
      <c r="K67" s="14">
        <f t="shared" si="41"/>
        <v>29514</v>
      </c>
      <c r="L67" s="14">
        <f t="shared" si="41"/>
        <v>29514</v>
      </c>
      <c r="M67" s="14">
        <f t="shared" si="41"/>
        <v>29514</v>
      </c>
      <c r="N67" s="32">
        <f>SUM(B67:M67)</f>
        <v>287761.5</v>
      </c>
    </row>
    <row r="68" spans="1:19" ht="15" customHeight="1" x14ac:dyDescent="0.3">
      <c r="A68" s="2" t="s">
        <v>3</v>
      </c>
      <c r="B68" s="14">
        <f t="shared" ref="B68:M68" si="42">SUM(B8*$Q8)+(B$13*$S8)+(B$14*$R8)</f>
        <v>55245</v>
      </c>
      <c r="C68" s="14">
        <f t="shared" si="42"/>
        <v>165735</v>
      </c>
      <c r="D68" s="14">
        <f t="shared" si="42"/>
        <v>165735</v>
      </c>
      <c r="E68" s="14">
        <f t="shared" si="42"/>
        <v>165735</v>
      </c>
      <c r="F68" s="14">
        <f t="shared" si="42"/>
        <v>165735</v>
      </c>
      <c r="G68" s="14">
        <f t="shared" si="42"/>
        <v>165735</v>
      </c>
      <c r="H68" s="14">
        <f t="shared" si="42"/>
        <v>195033</v>
      </c>
      <c r="I68" s="14">
        <f t="shared" si="42"/>
        <v>203682</v>
      </c>
      <c r="J68" s="14">
        <f t="shared" si="42"/>
        <v>220980</v>
      </c>
      <c r="K68" s="14">
        <f t="shared" si="42"/>
        <v>220980</v>
      </c>
      <c r="L68" s="14">
        <f t="shared" si="42"/>
        <v>220980</v>
      </c>
      <c r="M68" s="14">
        <f t="shared" si="42"/>
        <v>220980</v>
      </c>
      <c r="N68" s="32">
        <f>SUM(B68:M68)</f>
        <v>2166555</v>
      </c>
    </row>
    <row r="69" spans="1:19" ht="15" customHeight="1" x14ac:dyDescent="0.3">
      <c r="A69" s="2" t="s">
        <v>5</v>
      </c>
      <c r="B69" s="14">
        <f t="shared" ref="B69:M69" si="43">SUM(B9*$Q9)+(B$13*$S9)+(B$14*$R9)</f>
        <v>13882.500000000002</v>
      </c>
      <c r="C69" s="14">
        <f t="shared" si="43"/>
        <v>41647.5</v>
      </c>
      <c r="D69" s="14">
        <f t="shared" si="43"/>
        <v>41647.5</v>
      </c>
      <c r="E69" s="14">
        <f t="shared" si="43"/>
        <v>41647.5</v>
      </c>
      <c r="F69" s="14">
        <f t="shared" si="43"/>
        <v>41647.5</v>
      </c>
      <c r="G69" s="14">
        <f t="shared" si="43"/>
        <v>41647.5</v>
      </c>
      <c r="H69" s="14">
        <f t="shared" si="43"/>
        <v>47200.500000000007</v>
      </c>
      <c r="I69" s="14">
        <f t="shared" si="43"/>
        <v>49977.000000000007</v>
      </c>
      <c r="J69" s="14">
        <f t="shared" si="43"/>
        <v>55530.000000000007</v>
      </c>
      <c r="K69" s="14">
        <f t="shared" si="43"/>
        <v>55530.000000000007</v>
      </c>
      <c r="L69" s="14">
        <f t="shared" si="43"/>
        <v>55530.000000000007</v>
      </c>
      <c r="M69" s="14">
        <f t="shared" si="43"/>
        <v>55530.000000000007</v>
      </c>
      <c r="N69" s="32">
        <f t="shared" ref="N69" si="44">SUM(B69:M69)</f>
        <v>541417.5</v>
      </c>
    </row>
    <row r="70" spans="1:19" ht="15" customHeight="1" x14ac:dyDescent="0.3">
      <c r="A70" s="38" t="s">
        <v>43</v>
      </c>
      <c r="B70" s="14">
        <f t="shared" ref="B70:M70" si="45">SUM(B22:B24)</f>
        <v>18678.21975</v>
      </c>
      <c r="C70" s="14">
        <f t="shared" si="45"/>
        <v>35573.89</v>
      </c>
      <c r="D70" s="14">
        <f t="shared" si="45"/>
        <v>35573.89</v>
      </c>
      <c r="E70" s="14">
        <f t="shared" si="45"/>
        <v>35573.89</v>
      </c>
      <c r="F70" s="14">
        <f t="shared" si="45"/>
        <v>35573.89</v>
      </c>
      <c r="G70" s="14">
        <f t="shared" si="45"/>
        <v>35573.89</v>
      </c>
      <c r="H70" s="14">
        <f t="shared" si="45"/>
        <v>46089.791999999994</v>
      </c>
      <c r="I70" s="14">
        <f t="shared" si="45"/>
        <v>46459.368000000002</v>
      </c>
      <c r="J70" s="14">
        <f t="shared" si="45"/>
        <v>47198.52</v>
      </c>
      <c r="K70" s="14">
        <f t="shared" si="45"/>
        <v>47198.52</v>
      </c>
      <c r="L70" s="14">
        <f t="shared" si="45"/>
        <v>47198.52</v>
      </c>
      <c r="M70" s="14">
        <f t="shared" si="45"/>
        <v>47198.52</v>
      </c>
      <c r="N70" s="32">
        <f>SUM(B70:M70)</f>
        <v>477890.90975000005</v>
      </c>
    </row>
    <row r="71" spans="1:19" ht="15" customHeight="1" x14ac:dyDescent="0.3">
      <c r="A71" s="6" t="s">
        <v>8</v>
      </c>
      <c r="B71" s="33">
        <f>SUM(B65:B70)</f>
        <v>139819.71974999999</v>
      </c>
      <c r="C71" s="33">
        <f t="shared" ref="C71:M71" si="46">SUM(C65:C70)</f>
        <v>353998.39</v>
      </c>
      <c r="D71" s="33">
        <f t="shared" si="46"/>
        <v>353998.39</v>
      </c>
      <c r="E71" s="33">
        <f t="shared" si="46"/>
        <v>353998.39</v>
      </c>
      <c r="F71" s="33">
        <f t="shared" si="46"/>
        <v>353998.39</v>
      </c>
      <c r="G71" s="33">
        <f t="shared" si="46"/>
        <v>353998.39</v>
      </c>
      <c r="H71" s="33">
        <f t="shared" si="46"/>
        <v>418670.89199999999</v>
      </c>
      <c r="I71" s="33">
        <f t="shared" si="46"/>
        <v>436368.76800000004</v>
      </c>
      <c r="J71" s="33">
        <f t="shared" si="46"/>
        <v>471764.52</v>
      </c>
      <c r="K71" s="33">
        <f t="shared" si="46"/>
        <v>471764.52</v>
      </c>
      <c r="L71" s="33">
        <f t="shared" si="46"/>
        <v>471764.52</v>
      </c>
      <c r="M71" s="33">
        <f t="shared" si="46"/>
        <v>471764.52</v>
      </c>
      <c r="N71" s="32">
        <f>SUM(B71:M71)</f>
        <v>4651909.4097500006</v>
      </c>
      <c r="P71" s="47">
        <f>SUM(100%-O81)</f>
        <v>0.29788832384631025</v>
      </c>
      <c r="Q71" s="48" t="s">
        <v>45</v>
      </c>
    </row>
    <row r="72" spans="1:19" ht="15" customHeight="1" x14ac:dyDescent="0.3">
      <c r="P72" s="30">
        <f>SUM(N15)*P71</f>
        <v>8572079.0902500004</v>
      </c>
      <c r="Q72" s="48" t="s">
        <v>46</v>
      </c>
    </row>
    <row r="73" spans="1:19" ht="15" customHeight="1" x14ac:dyDescent="0.3">
      <c r="Q73" s="36"/>
    </row>
    <row r="74" spans="1:19" ht="15" customHeight="1" x14ac:dyDescent="0.3">
      <c r="A74" s="10" t="s">
        <v>59</v>
      </c>
      <c r="O74" s="45" t="s">
        <v>44</v>
      </c>
      <c r="Q74" s="45" t="s">
        <v>58</v>
      </c>
      <c r="R74" s="45" t="s">
        <v>44</v>
      </c>
      <c r="S74" s="45" t="s">
        <v>55</v>
      </c>
    </row>
    <row r="75" spans="1:19" ht="15" customHeight="1" x14ac:dyDescent="0.3">
      <c r="A75" s="3" t="s">
        <v>71</v>
      </c>
      <c r="B75" s="29">
        <f>SUM(B18:B40)</f>
        <v>113496.21975</v>
      </c>
      <c r="C75" s="29">
        <f t="shared" ref="C75:M75" si="47">SUM(C18:C40)</f>
        <v>248336.39</v>
      </c>
      <c r="D75" s="29">
        <f t="shared" si="47"/>
        <v>254646.39</v>
      </c>
      <c r="E75" s="29">
        <f t="shared" si="47"/>
        <v>266346.39</v>
      </c>
      <c r="F75" s="29">
        <f t="shared" si="47"/>
        <v>266346.39</v>
      </c>
      <c r="G75" s="29">
        <f t="shared" si="47"/>
        <v>266346.39</v>
      </c>
      <c r="H75" s="29">
        <f t="shared" si="47"/>
        <v>338695.49199999997</v>
      </c>
      <c r="I75" s="29">
        <f t="shared" si="47"/>
        <v>341364.16800000006</v>
      </c>
      <c r="J75" s="29">
        <f t="shared" si="47"/>
        <v>354581.52</v>
      </c>
      <c r="K75" s="29">
        <f t="shared" si="47"/>
        <v>354581.52</v>
      </c>
      <c r="L75" s="29">
        <f t="shared" si="47"/>
        <v>354581.52</v>
      </c>
      <c r="M75" s="29">
        <f t="shared" si="47"/>
        <v>354581.52</v>
      </c>
      <c r="N75" s="33">
        <f t="shared" ref="N75:N76" si="48">SUM(B75:M75)</f>
        <v>3513903.9097500001</v>
      </c>
      <c r="O75" s="44">
        <f>SUM(N75)/N15</f>
        <v>0.12211167615368977</v>
      </c>
      <c r="Q75" s="60" t="s">
        <v>56</v>
      </c>
      <c r="R75" s="47">
        <f>SUM(P71)</f>
        <v>0.29788832384631025</v>
      </c>
      <c r="S75" s="30">
        <f>SUM(P72)*R75</f>
        <v>2553522.2720725769</v>
      </c>
    </row>
    <row r="76" spans="1:19" ht="15" customHeight="1" x14ac:dyDescent="0.3">
      <c r="A76" s="46" t="s">
        <v>60</v>
      </c>
      <c r="B76" s="29">
        <f t="shared" ref="B76:M76" si="49">SUM(B15)*25%</f>
        <v>184462.5</v>
      </c>
      <c r="C76" s="29">
        <f t="shared" si="49"/>
        <v>553387.5</v>
      </c>
      <c r="D76" s="29">
        <f t="shared" si="49"/>
        <v>553387.5</v>
      </c>
      <c r="E76" s="29">
        <f t="shared" si="49"/>
        <v>553387.5</v>
      </c>
      <c r="F76" s="29">
        <f t="shared" si="49"/>
        <v>553387.5</v>
      </c>
      <c r="G76" s="29">
        <f t="shared" si="49"/>
        <v>553387.5</v>
      </c>
      <c r="H76" s="29">
        <f t="shared" si="49"/>
        <v>627172.5</v>
      </c>
      <c r="I76" s="29">
        <f t="shared" si="49"/>
        <v>664065</v>
      </c>
      <c r="J76" s="29">
        <f t="shared" si="49"/>
        <v>737850</v>
      </c>
      <c r="K76" s="29">
        <f t="shared" si="49"/>
        <v>737850</v>
      </c>
      <c r="L76" s="29">
        <f t="shared" si="49"/>
        <v>737850</v>
      </c>
      <c r="M76" s="29">
        <f t="shared" si="49"/>
        <v>737850</v>
      </c>
      <c r="N76" s="33">
        <f t="shared" si="48"/>
        <v>7194037.5</v>
      </c>
      <c r="O76" s="44">
        <f>SUM(N76)/N15</f>
        <v>0.25</v>
      </c>
    </row>
    <row r="77" spans="1:19" ht="15" customHeight="1" x14ac:dyDescent="0.3">
      <c r="A77" s="3" t="s">
        <v>78</v>
      </c>
      <c r="B77" s="29">
        <f t="shared" ref="B77:M77" si="50">SUM(B15)*25%</f>
        <v>184462.5</v>
      </c>
      <c r="C77" s="29">
        <f t="shared" si="50"/>
        <v>553387.5</v>
      </c>
      <c r="D77" s="29">
        <f t="shared" si="50"/>
        <v>553387.5</v>
      </c>
      <c r="E77" s="29">
        <f t="shared" si="50"/>
        <v>553387.5</v>
      </c>
      <c r="F77" s="29">
        <f t="shared" si="50"/>
        <v>553387.5</v>
      </c>
      <c r="G77" s="29">
        <f t="shared" si="50"/>
        <v>553387.5</v>
      </c>
      <c r="H77" s="29">
        <f t="shared" si="50"/>
        <v>627172.5</v>
      </c>
      <c r="I77" s="29">
        <f t="shared" si="50"/>
        <v>664065</v>
      </c>
      <c r="J77" s="29">
        <f t="shared" si="50"/>
        <v>737850</v>
      </c>
      <c r="K77" s="29">
        <f t="shared" si="50"/>
        <v>737850</v>
      </c>
      <c r="L77" s="29">
        <f t="shared" si="50"/>
        <v>737850</v>
      </c>
      <c r="M77" s="29">
        <f t="shared" si="50"/>
        <v>737850</v>
      </c>
      <c r="N77" s="33">
        <f t="shared" ref="N77:N80" si="51">SUM(B77:M77)</f>
        <v>7194037.5</v>
      </c>
      <c r="O77" s="44">
        <f>SUM(N77)/N15</f>
        <v>0.25</v>
      </c>
      <c r="Q77" s="63" t="s">
        <v>57</v>
      </c>
      <c r="R77" s="64" t="s">
        <v>44</v>
      </c>
      <c r="S77" s="64" t="s">
        <v>55</v>
      </c>
    </row>
    <row r="78" spans="1:19" ht="15" customHeight="1" x14ac:dyDescent="0.3">
      <c r="A78" s="3" t="s">
        <v>49</v>
      </c>
      <c r="B78" s="29">
        <f t="shared" ref="B78:M78" si="52">SUM(B15)*5%</f>
        <v>36892.5</v>
      </c>
      <c r="C78" s="29">
        <f t="shared" si="52"/>
        <v>110677.5</v>
      </c>
      <c r="D78" s="29">
        <f t="shared" si="52"/>
        <v>110677.5</v>
      </c>
      <c r="E78" s="29">
        <f t="shared" si="52"/>
        <v>110677.5</v>
      </c>
      <c r="F78" s="29">
        <f t="shared" si="52"/>
        <v>110677.5</v>
      </c>
      <c r="G78" s="29">
        <f t="shared" si="52"/>
        <v>110677.5</v>
      </c>
      <c r="H78" s="29">
        <f t="shared" si="52"/>
        <v>125434.5</v>
      </c>
      <c r="I78" s="29">
        <f t="shared" si="52"/>
        <v>132813</v>
      </c>
      <c r="J78" s="29">
        <f t="shared" si="52"/>
        <v>147570</v>
      </c>
      <c r="K78" s="29">
        <f t="shared" si="52"/>
        <v>147570</v>
      </c>
      <c r="L78" s="29">
        <f t="shared" si="52"/>
        <v>147570</v>
      </c>
      <c r="M78" s="29">
        <f t="shared" si="52"/>
        <v>147570</v>
      </c>
      <c r="N78" s="33">
        <f>SUM(B78:M78)</f>
        <v>1438807.5</v>
      </c>
      <c r="O78" s="44">
        <f>SUM(N78)/N15</f>
        <v>0.05</v>
      </c>
      <c r="Q78" s="60" t="s">
        <v>56</v>
      </c>
      <c r="R78" s="47">
        <f>100%-R75</f>
        <v>0.70211167615368975</v>
      </c>
      <c r="S78" s="30">
        <f>SUM(P72)*R78</f>
        <v>6018556.8181774234</v>
      </c>
    </row>
    <row r="79" spans="1:19" ht="15" customHeight="1" x14ac:dyDescent="0.3">
      <c r="A79" s="3" t="s">
        <v>73</v>
      </c>
      <c r="B79" s="29">
        <f t="shared" ref="B79:M79" si="53">SUM(B15)*2.25%</f>
        <v>16601.625</v>
      </c>
      <c r="C79" s="29">
        <f t="shared" si="53"/>
        <v>49804.875</v>
      </c>
      <c r="D79" s="29">
        <f t="shared" si="53"/>
        <v>49804.875</v>
      </c>
      <c r="E79" s="29">
        <f t="shared" si="53"/>
        <v>49804.875</v>
      </c>
      <c r="F79" s="29">
        <f t="shared" si="53"/>
        <v>49804.875</v>
      </c>
      <c r="G79" s="29">
        <f t="shared" si="53"/>
        <v>49804.875</v>
      </c>
      <c r="H79" s="29">
        <f t="shared" si="53"/>
        <v>56445.525000000001</v>
      </c>
      <c r="I79" s="29">
        <f t="shared" si="53"/>
        <v>59765.85</v>
      </c>
      <c r="J79" s="29">
        <f t="shared" si="53"/>
        <v>66406.5</v>
      </c>
      <c r="K79" s="29">
        <f t="shared" si="53"/>
        <v>66406.5</v>
      </c>
      <c r="L79" s="29">
        <f t="shared" si="53"/>
        <v>66406.5</v>
      </c>
      <c r="M79" s="29">
        <f t="shared" si="53"/>
        <v>66406.5</v>
      </c>
      <c r="N79" s="43">
        <f t="shared" si="51"/>
        <v>647463.375</v>
      </c>
      <c r="O79" s="44">
        <f>SUM(N79)/N15</f>
        <v>2.2499999999999999E-2</v>
      </c>
    </row>
    <row r="80" spans="1:19" ht="15" customHeight="1" x14ac:dyDescent="0.3">
      <c r="A80" s="3" t="s">
        <v>70</v>
      </c>
      <c r="B80" s="29">
        <f t="shared" ref="B80:M80" si="54">SUM(B15)*0.0075</f>
        <v>5533.875</v>
      </c>
      <c r="C80" s="29">
        <f t="shared" si="54"/>
        <v>16601.625</v>
      </c>
      <c r="D80" s="29">
        <f t="shared" si="54"/>
        <v>16601.625</v>
      </c>
      <c r="E80" s="29">
        <f t="shared" si="54"/>
        <v>16601.625</v>
      </c>
      <c r="F80" s="29">
        <f t="shared" si="54"/>
        <v>16601.625</v>
      </c>
      <c r="G80" s="29">
        <f t="shared" si="54"/>
        <v>16601.625</v>
      </c>
      <c r="H80" s="29">
        <f t="shared" si="54"/>
        <v>18815.174999999999</v>
      </c>
      <c r="I80" s="29">
        <f t="shared" si="54"/>
        <v>19921.95</v>
      </c>
      <c r="J80" s="29">
        <f t="shared" si="54"/>
        <v>22135.5</v>
      </c>
      <c r="K80" s="29">
        <f t="shared" si="54"/>
        <v>22135.5</v>
      </c>
      <c r="L80" s="29">
        <f t="shared" si="54"/>
        <v>22135.5</v>
      </c>
      <c r="M80" s="29">
        <f t="shared" si="54"/>
        <v>22135.5</v>
      </c>
      <c r="N80" s="33">
        <f t="shared" si="51"/>
        <v>215821.125</v>
      </c>
      <c r="O80" s="44">
        <f>SUM(N80)/N15</f>
        <v>7.4999999999999997E-3</v>
      </c>
    </row>
    <row r="81" spans="1:15" ht="15" customHeight="1" x14ac:dyDescent="0.3">
      <c r="A81" s="6" t="s">
        <v>8</v>
      </c>
      <c r="B81" s="33">
        <f>SUM(B75:B80)</f>
        <v>541449.21974999993</v>
      </c>
      <c r="C81" s="33">
        <f t="shared" ref="C81:N81" si="55">SUM(C75:C80)</f>
        <v>1532195.3900000001</v>
      </c>
      <c r="D81" s="33">
        <f t="shared" si="55"/>
        <v>1538505.3900000001</v>
      </c>
      <c r="E81" s="33">
        <f t="shared" si="55"/>
        <v>1550205.3900000001</v>
      </c>
      <c r="F81" s="33">
        <f t="shared" si="55"/>
        <v>1550205.3900000001</v>
      </c>
      <c r="G81" s="33">
        <f t="shared" si="55"/>
        <v>1550205.3900000001</v>
      </c>
      <c r="H81" s="33">
        <f t="shared" si="55"/>
        <v>1793735.692</v>
      </c>
      <c r="I81" s="33">
        <f t="shared" si="55"/>
        <v>1881994.9680000001</v>
      </c>
      <c r="J81" s="33">
        <f t="shared" si="55"/>
        <v>2066393.52</v>
      </c>
      <c r="K81" s="33">
        <f t="shared" si="55"/>
        <v>2066393.52</v>
      </c>
      <c r="L81" s="33">
        <f t="shared" si="55"/>
        <v>2066393.52</v>
      </c>
      <c r="M81" s="33">
        <f t="shared" si="55"/>
        <v>2066393.52</v>
      </c>
      <c r="N81" s="33">
        <f t="shared" si="55"/>
        <v>20204070.90975</v>
      </c>
      <c r="O81" s="81">
        <f>SUM(O75:O80)</f>
        <v>0.70211167615368975</v>
      </c>
    </row>
    <row r="82" spans="1:15" ht="15" customHeight="1" x14ac:dyDescent="0.3"/>
    <row r="83" spans="1:15" ht="15" customHeight="1" x14ac:dyDescent="0.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69"/>
    </row>
    <row r="84" spans="1:15" ht="15" customHeight="1" x14ac:dyDescent="0.3"/>
  </sheetData>
  <mergeCells count="1">
    <mergeCell ref="B1:M1"/>
  </mergeCells>
  <pageMargins left="0.7" right="0.7" top="0.75" bottom="0.75" header="0.3" footer="0.3"/>
  <pageSetup orientation="portrait" horizontalDpi="4294967292" verticalDpi="1200" r:id="rId1"/>
  <ignoredErrors>
    <ignoredError sqref="Q5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A5A3-6BE9-4982-A122-C6932ADBC3B8}">
  <sheetPr>
    <tabColor rgb="FF92D050"/>
  </sheetPr>
  <dimension ref="A1:T157"/>
  <sheetViews>
    <sheetView zoomScaleNormal="100" workbookViewId="0">
      <selection activeCell="X19" sqref="X19"/>
    </sheetView>
  </sheetViews>
  <sheetFormatPr defaultRowHeight="14.4" x14ac:dyDescent="0.3"/>
  <cols>
    <col min="1" max="1" width="32.6640625" customWidth="1"/>
    <col min="2" max="13" width="12.6640625" customWidth="1"/>
    <col min="14" max="14" width="13.33203125" bestFit="1" customWidth="1"/>
    <col min="16" max="16" width="18.6640625" customWidth="1"/>
    <col min="17" max="17" width="18.5546875" customWidth="1"/>
    <col min="18" max="18" width="11.5546875" bestFit="1" customWidth="1"/>
    <col min="19" max="19" width="17.6640625" customWidth="1"/>
    <col min="20" max="20" width="12.109375" bestFit="1" customWidth="1"/>
    <col min="21" max="21" width="11.5546875" bestFit="1" customWidth="1"/>
  </cols>
  <sheetData>
    <row r="1" spans="1:20" ht="15" customHeight="1" thickBot="1" x14ac:dyDescent="0.35">
      <c r="A1" s="4"/>
      <c r="B1" s="94" t="s">
        <v>52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P1" s="20" t="s">
        <v>31</v>
      </c>
      <c r="Q1" s="21"/>
      <c r="R1" s="21"/>
      <c r="S1" s="21"/>
      <c r="T1" s="22"/>
    </row>
    <row r="2" spans="1:20" ht="15" customHeight="1" x14ac:dyDescent="0.3">
      <c r="A2" s="4"/>
      <c r="B2" s="39">
        <v>44551</v>
      </c>
      <c r="C2" s="39">
        <v>44582</v>
      </c>
      <c r="D2" s="39">
        <v>44613</v>
      </c>
      <c r="E2" s="39">
        <v>44641</v>
      </c>
      <c r="F2" s="39">
        <v>44672</v>
      </c>
      <c r="G2" s="39">
        <v>44702</v>
      </c>
      <c r="H2" s="39">
        <v>44733</v>
      </c>
      <c r="I2" s="39">
        <v>44763</v>
      </c>
      <c r="J2" s="39">
        <v>44794</v>
      </c>
      <c r="K2" s="39">
        <v>44825</v>
      </c>
      <c r="L2" s="39">
        <v>44855</v>
      </c>
      <c r="M2" s="39">
        <v>44886</v>
      </c>
      <c r="P2" s="12"/>
      <c r="Q2" s="12"/>
      <c r="R2" s="12"/>
      <c r="S2" s="12"/>
      <c r="T2" s="1"/>
    </row>
    <row r="3" spans="1:20" ht="15" customHeight="1" x14ac:dyDescent="0.3">
      <c r="A3" s="13" t="s">
        <v>0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 t="s">
        <v>8</v>
      </c>
      <c r="P3" s="4" t="s">
        <v>30</v>
      </c>
    </row>
    <row r="4" spans="1:20" ht="15" customHeight="1" x14ac:dyDescent="0.3">
      <c r="A4" s="12" t="s">
        <v>53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71"/>
      <c r="P4" s="5" t="s">
        <v>21</v>
      </c>
      <c r="Q4" s="5" t="s">
        <v>22</v>
      </c>
      <c r="R4" s="5" t="s">
        <v>35</v>
      </c>
      <c r="S4" s="53" t="s">
        <v>50</v>
      </c>
    </row>
    <row r="5" spans="1:20" ht="15" customHeight="1" x14ac:dyDescent="0.3">
      <c r="A5" s="2" t="s">
        <v>1</v>
      </c>
      <c r="B5" s="3">
        <f>SUM('FE Sales YR 4'!M5)</f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17">
        <f>SUM(M5)</f>
        <v>1</v>
      </c>
      <c r="O5" s="72"/>
      <c r="P5" s="89" t="s">
        <v>1</v>
      </c>
      <c r="Q5" s="9">
        <v>0</v>
      </c>
      <c r="R5" s="42">
        <v>1.4999999999999999E-2</v>
      </c>
      <c r="S5" s="42">
        <v>1.4999999999999999E-2</v>
      </c>
    </row>
    <row r="6" spans="1:20" ht="15" customHeight="1" x14ac:dyDescent="0.3">
      <c r="A6" s="2" t="s">
        <v>2</v>
      </c>
      <c r="B6" s="3">
        <f>SUM('FE Sales YR 4'!M6)</f>
        <v>12</v>
      </c>
      <c r="C6" s="3">
        <v>12</v>
      </c>
      <c r="D6" s="3">
        <v>12</v>
      </c>
      <c r="E6" s="3">
        <v>12</v>
      </c>
      <c r="F6" s="3">
        <v>12</v>
      </c>
      <c r="G6" s="3">
        <v>12</v>
      </c>
      <c r="H6" s="3">
        <v>12</v>
      </c>
      <c r="I6" s="3">
        <v>12</v>
      </c>
      <c r="J6" s="3">
        <v>12</v>
      </c>
      <c r="K6" s="3">
        <v>12</v>
      </c>
      <c r="L6" s="3">
        <v>12</v>
      </c>
      <c r="M6" s="3">
        <v>12</v>
      </c>
      <c r="N6" s="17">
        <f t="shared" ref="N6:N9" si="0">SUM(M6)</f>
        <v>12</v>
      </c>
      <c r="O6" s="72"/>
      <c r="P6" s="91" t="s">
        <v>2</v>
      </c>
      <c r="Q6" s="9">
        <v>2500</v>
      </c>
      <c r="R6" s="42">
        <v>1.2500000000000001E-2</v>
      </c>
      <c r="S6" s="58">
        <v>1.2500000000000001E-2</v>
      </c>
    </row>
    <row r="7" spans="1:20" ht="15" customHeight="1" x14ac:dyDescent="0.3">
      <c r="A7" s="2" t="s">
        <v>4</v>
      </c>
      <c r="B7" s="3">
        <f>SUM('FE Sales YR 4'!M7)</f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17">
        <f t="shared" si="0"/>
        <v>4</v>
      </c>
      <c r="O7" s="72"/>
      <c r="P7" s="87" t="s">
        <v>4</v>
      </c>
      <c r="Q7" s="9">
        <v>0</v>
      </c>
      <c r="R7" s="42">
        <v>0.01</v>
      </c>
      <c r="S7" s="42">
        <v>0.01</v>
      </c>
    </row>
    <row r="8" spans="1:20" ht="15" customHeight="1" x14ac:dyDescent="0.3">
      <c r="A8" s="2" t="s">
        <v>3</v>
      </c>
      <c r="B8" s="3">
        <f>SUM('FE Sales YR 4'!M8)</f>
        <v>24</v>
      </c>
      <c r="C8" s="3">
        <v>24</v>
      </c>
      <c r="D8" s="3">
        <v>24</v>
      </c>
      <c r="E8" s="3">
        <v>24</v>
      </c>
      <c r="F8" s="3">
        <v>24</v>
      </c>
      <c r="G8" s="3">
        <v>24</v>
      </c>
      <c r="H8" s="3">
        <v>24</v>
      </c>
      <c r="I8" s="3">
        <v>24</v>
      </c>
      <c r="J8" s="3">
        <v>24</v>
      </c>
      <c r="K8" s="3">
        <v>24</v>
      </c>
      <c r="L8" s="3">
        <v>24</v>
      </c>
      <c r="M8" s="3">
        <v>24</v>
      </c>
      <c r="N8" s="17">
        <f t="shared" si="0"/>
        <v>24</v>
      </c>
      <c r="O8" s="72"/>
      <c r="P8" s="85" t="s">
        <v>3</v>
      </c>
      <c r="Q8" s="9">
        <v>2000</v>
      </c>
      <c r="R8" s="42">
        <v>0.04</v>
      </c>
      <c r="S8" s="42">
        <v>0.5</v>
      </c>
    </row>
    <row r="9" spans="1:20" ht="15" customHeight="1" x14ac:dyDescent="0.3">
      <c r="A9" s="2" t="s">
        <v>5</v>
      </c>
      <c r="B9" s="3">
        <f>SUM('FE Sales YR 4'!M9)</f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17">
        <f t="shared" si="0"/>
        <v>4</v>
      </c>
      <c r="O9" s="72"/>
      <c r="P9" s="84" t="s">
        <v>5</v>
      </c>
      <c r="Q9" s="9">
        <v>0</v>
      </c>
      <c r="R9" s="42">
        <v>1.7500000000000002E-2</v>
      </c>
      <c r="S9" s="42">
        <v>0.05</v>
      </c>
    </row>
    <row r="10" spans="1:20" ht="15" customHeight="1" x14ac:dyDescent="0.3">
      <c r="A10" s="6" t="s">
        <v>8</v>
      </c>
      <c r="B10" s="8">
        <f t="shared" ref="B10:N10" si="1">SUM(B5:B9)</f>
        <v>45</v>
      </c>
      <c r="C10" s="8">
        <f t="shared" si="1"/>
        <v>45</v>
      </c>
      <c r="D10" s="8">
        <f t="shared" si="1"/>
        <v>45</v>
      </c>
      <c r="E10" s="8">
        <f t="shared" si="1"/>
        <v>45</v>
      </c>
      <c r="F10" s="8">
        <f t="shared" si="1"/>
        <v>45</v>
      </c>
      <c r="G10" s="8">
        <f t="shared" si="1"/>
        <v>45</v>
      </c>
      <c r="H10" s="8">
        <f t="shared" si="1"/>
        <v>45</v>
      </c>
      <c r="I10" s="8">
        <f t="shared" si="1"/>
        <v>45</v>
      </c>
      <c r="J10" s="8">
        <f t="shared" si="1"/>
        <v>45</v>
      </c>
      <c r="K10" s="8">
        <f t="shared" si="1"/>
        <v>45</v>
      </c>
      <c r="L10" s="8">
        <f t="shared" si="1"/>
        <v>45</v>
      </c>
      <c r="M10" s="8">
        <f t="shared" si="1"/>
        <v>45</v>
      </c>
      <c r="N10" s="17">
        <f t="shared" si="1"/>
        <v>45</v>
      </c>
      <c r="R10" s="75">
        <f>SUM(R5:R9)</f>
        <v>9.5000000000000001E-2</v>
      </c>
      <c r="S10" s="75">
        <f>SUM(S5:S9)</f>
        <v>0.58750000000000002</v>
      </c>
    </row>
    <row r="11" spans="1:20" ht="15" customHeight="1" x14ac:dyDescent="0.3"/>
    <row r="12" spans="1:20" ht="15" customHeight="1" x14ac:dyDescent="0.3">
      <c r="A12" s="12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4" t="s">
        <v>25</v>
      </c>
    </row>
    <row r="13" spans="1:20" ht="15" customHeight="1" x14ac:dyDescent="0.3">
      <c r="A13" s="2" t="s">
        <v>34</v>
      </c>
      <c r="B13" s="14">
        <f t="shared" ref="B13:M13" si="2">B8*$Q$13*$Q$14</f>
        <v>119400</v>
      </c>
      <c r="C13" s="14">
        <f t="shared" si="2"/>
        <v>119400</v>
      </c>
      <c r="D13" s="14">
        <f t="shared" si="2"/>
        <v>119400</v>
      </c>
      <c r="E13" s="14">
        <f t="shared" si="2"/>
        <v>119400</v>
      </c>
      <c r="F13" s="14">
        <f t="shared" si="2"/>
        <v>119400</v>
      </c>
      <c r="G13" s="14">
        <f t="shared" si="2"/>
        <v>119400</v>
      </c>
      <c r="H13" s="14">
        <f t="shared" si="2"/>
        <v>119400</v>
      </c>
      <c r="I13" s="14">
        <f t="shared" si="2"/>
        <v>119400</v>
      </c>
      <c r="J13" s="14">
        <f t="shared" si="2"/>
        <v>119400</v>
      </c>
      <c r="K13" s="14">
        <f t="shared" si="2"/>
        <v>119400</v>
      </c>
      <c r="L13" s="14">
        <f t="shared" si="2"/>
        <v>119400</v>
      </c>
      <c r="M13" s="14">
        <f t="shared" si="2"/>
        <v>119400</v>
      </c>
      <c r="N13" s="18">
        <f>SUM(B13:M13)</f>
        <v>1432800</v>
      </c>
      <c r="P13" s="3" t="s">
        <v>23</v>
      </c>
      <c r="Q13" s="9">
        <v>5</v>
      </c>
    </row>
    <row r="14" spans="1:20" ht="15" customHeight="1" x14ac:dyDescent="0.3">
      <c r="A14" s="2" t="s">
        <v>7</v>
      </c>
      <c r="B14" s="14">
        <f t="shared" ref="B14:M14" si="3">B8*$Q$13*$Q$15*$Q$16*$Q$17</f>
        <v>2832000</v>
      </c>
      <c r="C14" s="14">
        <f t="shared" si="3"/>
        <v>2832000</v>
      </c>
      <c r="D14" s="14">
        <f t="shared" si="3"/>
        <v>2832000</v>
      </c>
      <c r="E14" s="14">
        <f t="shared" si="3"/>
        <v>2832000</v>
      </c>
      <c r="F14" s="14">
        <f t="shared" si="3"/>
        <v>2832000</v>
      </c>
      <c r="G14" s="14">
        <f t="shared" si="3"/>
        <v>2832000</v>
      </c>
      <c r="H14" s="14">
        <f t="shared" si="3"/>
        <v>2832000</v>
      </c>
      <c r="I14" s="14">
        <f t="shared" si="3"/>
        <v>2832000</v>
      </c>
      <c r="J14" s="14">
        <f t="shared" si="3"/>
        <v>2832000</v>
      </c>
      <c r="K14" s="14">
        <f t="shared" si="3"/>
        <v>2832000</v>
      </c>
      <c r="L14" s="14">
        <f t="shared" si="3"/>
        <v>2832000</v>
      </c>
      <c r="M14" s="14">
        <f t="shared" si="3"/>
        <v>2832000</v>
      </c>
      <c r="N14" s="18">
        <f>SUM(B14:M14)</f>
        <v>33984000</v>
      </c>
      <c r="P14" s="3" t="s">
        <v>28</v>
      </c>
      <c r="Q14" s="9">
        <v>995</v>
      </c>
    </row>
    <row r="15" spans="1:20" ht="15" customHeight="1" x14ac:dyDescent="0.3">
      <c r="A15" s="6" t="s">
        <v>8</v>
      </c>
      <c r="B15" s="15">
        <f t="shared" ref="B15:N15" si="4">SUM(B13:B14)</f>
        <v>2951400</v>
      </c>
      <c r="C15" s="15">
        <f t="shared" si="4"/>
        <v>2951400</v>
      </c>
      <c r="D15" s="15">
        <f t="shared" si="4"/>
        <v>2951400</v>
      </c>
      <c r="E15" s="15">
        <f t="shared" si="4"/>
        <v>2951400</v>
      </c>
      <c r="F15" s="15">
        <f t="shared" si="4"/>
        <v>2951400</v>
      </c>
      <c r="G15" s="15">
        <f t="shared" si="4"/>
        <v>2951400</v>
      </c>
      <c r="H15" s="15">
        <f t="shared" si="4"/>
        <v>2951400</v>
      </c>
      <c r="I15" s="15">
        <f t="shared" si="4"/>
        <v>2951400</v>
      </c>
      <c r="J15" s="15">
        <f t="shared" si="4"/>
        <v>2951400</v>
      </c>
      <c r="K15" s="15">
        <f t="shared" si="4"/>
        <v>2951400</v>
      </c>
      <c r="L15" s="15">
        <f t="shared" si="4"/>
        <v>2951400</v>
      </c>
      <c r="M15" s="15">
        <f t="shared" si="4"/>
        <v>2951400</v>
      </c>
      <c r="N15" s="18">
        <f t="shared" si="4"/>
        <v>35416800</v>
      </c>
      <c r="P15" s="3" t="s">
        <v>24</v>
      </c>
      <c r="Q15" s="16">
        <v>0.5</v>
      </c>
    </row>
    <row r="16" spans="1:20" ht="15" customHeight="1" x14ac:dyDescent="0.3">
      <c r="P16" s="3" t="s">
        <v>26</v>
      </c>
      <c r="Q16" s="9">
        <v>160</v>
      </c>
    </row>
    <row r="17" spans="1:18" ht="15" customHeight="1" x14ac:dyDescent="0.3">
      <c r="A17" s="10" t="s">
        <v>9</v>
      </c>
      <c r="P17" s="3" t="s">
        <v>27</v>
      </c>
      <c r="Q17" s="9">
        <v>295</v>
      </c>
    </row>
    <row r="18" spans="1:18" ht="15" customHeight="1" x14ac:dyDescent="0.3">
      <c r="A18" s="2" t="s">
        <v>10</v>
      </c>
      <c r="B18" s="14">
        <f t="shared" ref="B18:M18" si="5">B5*$Q$5+B6*$Q$6+C7*$Q$7+B8*$Q$8+B9*$Q$9+B13*S5+B13*S6+B13*S7+B13*S8+B13*S9</f>
        <v>148147.5</v>
      </c>
      <c r="C18" s="14">
        <f t="shared" si="5"/>
        <v>78000</v>
      </c>
      <c r="D18" s="14">
        <f t="shared" si="5"/>
        <v>78000</v>
      </c>
      <c r="E18" s="14">
        <f t="shared" si="5"/>
        <v>78000</v>
      </c>
      <c r="F18" s="14">
        <f t="shared" si="5"/>
        <v>78000</v>
      </c>
      <c r="G18" s="14">
        <f t="shared" si="5"/>
        <v>78000</v>
      </c>
      <c r="H18" s="14">
        <f t="shared" si="5"/>
        <v>78000</v>
      </c>
      <c r="I18" s="14">
        <f t="shared" si="5"/>
        <v>78000</v>
      </c>
      <c r="J18" s="14">
        <f t="shared" si="5"/>
        <v>78000</v>
      </c>
      <c r="K18" s="14">
        <f t="shared" si="5"/>
        <v>78000</v>
      </c>
      <c r="L18" s="14">
        <f t="shared" si="5"/>
        <v>78000</v>
      </c>
      <c r="M18" s="14">
        <f t="shared" si="5"/>
        <v>78000</v>
      </c>
      <c r="N18" s="18">
        <f>SUM(B18:M18)</f>
        <v>1006147.5</v>
      </c>
      <c r="P18" s="19" t="s">
        <v>36</v>
      </c>
      <c r="Q18" s="23">
        <f>IF(Q13&gt;5,(Q13-4)*300,0)</f>
        <v>0</v>
      </c>
    </row>
    <row r="19" spans="1:18" ht="15" customHeight="1" x14ac:dyDescent="0.3">
      <c r="A19" s="2" t="s">
        <v>38</v>
      </c>
      <c r="B19" s="14">
        <f t="shared" ref="B19:M19" si="6">IF(B5&gt;0,$R$5*B$14,0)</f>
        <v>42480</v>
      </c>
      <c r="C19" s="14">
        <f t="shared" si="6"/>
        <v>42480</v>
      </c>
      <c r="D19" s="14">
        <f t="shared" si="6"/>
        <v>42480</v>
      </c>
      <c r="E19" s="14">
        <f t="shared" si="6"/>
        <v>42480</v>
      </c>
      <c r="F19" s="14">
        <f t="shared" si="6"/>
        <v>42480</v>
      </c>
      <c r="G19" s="14">
        <f t="shared" si="6"/>
        <v>42480</v>
      </c>
      <c r="H19" s="14">
        <f t="shared" si="6"/>
        <v>42480</v>
      </c>
      <c r="I19" s="14">
        <f t="shared" si="6"/>
        <v>42480</v>
      </c>
      <c r="J19" s="14">
        <f t="shared" si="6"/>
        <v>42480</v>
      </c>
      <c r="K19" s="14">
        <f t="shared" si="6"/>
        <v>42480</v>
      </c>
      <c r="L19" s="14">
        <f t="shared" si="6"/>
        <v>42480</v>
      </c>
      <c r="M19" s="14">
        <f t="shared" si="6"/>
        <v>42480</v>
      </c>
      <c r="N19" s="18">
        <f t="shared" ref="N19:N33" si="7">SUM(B19:M19)</f>
        <v>509760</v>
      </c>
      <c r="P19" s="19" t="s">
        <v>37</v>
      </c>
      <c r="Q19" s="23">
        <f>IF($Q$14&gt;995,($Q$14-995)*0.5*$Q$13,0)</f>
        <v>0</v>
      </c>
    </row>
    <row r="20" spans="1:18" ht="15" customHeight="1" x14ac:dyDescent="0.3">
      <c r="A20" s="2" t="s">
        <v>39</v>
      </c>
      <c r="B20" s="14">
        <f t="shared" ref="B20:M20" si="8">IF(B8&gt;0,B8*$Q$18+B8*$Q$19,0)</f>
        <v>0</v>
      </c>
      <c r="C20" s="14">
        <f t="shared" si="8"/>
        <v>0</v>
      </c>
      <c r="D20" s="14">
        <f t="shared" si="8"/>
        <v>0</v>
      </c>
      <c r="E20" s="14">
        <f t="shared" si="8"/>
        <v>0</v>
      </c>
      <c r="F20" s="14">
        <f t="shared" si="8"/>
        <v>0</v>
      </c>
      <c r="G20" s="14">
        <f t="shared" si="8"/>
        <v>0</v>
      </c>
      <c r="H20" s="14">
        <f t="shared" si="8"/>
        <v>0</v>
      </c>
      <c r="I20" s="14">
        <f t="shared" si="8"/>
        <v>0</v>
      </c>
      <c r="J20" s="14">
        <f t="shared" si="8"/>
        <v>0</v>
      </c>
      <c r="K20" s="14">
        <f t="shared" si="8"/>
        <v>0</v>
      </c>
      <c r="L20" s="14">
        <f t="shared" si="8"/>
        <v>0</v>
      </c>
      <c r="M20" s="14">
        <f t="shared" si="8"/>
        <v>0</v>
      </c>
      <c r="N20" s="18">
        <f t="shared" si="7"/>
        <v>0</v>
      </c>
      <c r="P20" s="24"/>
      <c r="Q20" s="24"/>
      <c r="R20" s="25"/>
    </row>
    <row r="21" spans="1:18" ht="15" customHeight="1" x14ac:dyDescent="0.3">
      <c r="A21" s="2" t="s">
        <v>47</v>
      </c>
      <c r="B21" s="14">
        <f t="shared" ref="B21:M21" si="9">SUM(B13)*$S10</f>
        <v>70147.5</v>
      </c>
      <c r="C21" s="14">
        <f t="shared" si="9"/>
        <v>70147.5</v>
      </c>
      <c r="D21" s="14">
        <f t="shared" si="9"/>
        <v>70147.5</v>
      </c>
      <c r="E21" s="14">
        <f t="shared" si="9"/>
        <v>70147.5</v>
      </c>
      <c r="F21" s="14">
        <f t="shared" si="9"/>
        <v>70147.5</v>
      </c>
      <c r="G21" s="14">
        <f t="shared" si="9"/>
        <v>70147.5</v>
      </c>
      <c r="H21" s="14">
        <f t="shared" si="9"/>
        <v>70147.5</v>
      </c>
      <c r="I21" s="14">
        <f t="shared" si="9"/>
        <v>70147.5</v>
      </c>
      <c r="J21" s="14">
        <f t="shared" si="9"/>
        <v>70147.5</v>
      </c>
      <c r="K21" s="14">
        <f t="shared" si="9"/>
        <v>70147.5</v>
      </c>
      <c r="L21" s="14">
        <f t="shared" si="9"/>
        <v>70147.5</v>
      </c>
      <c r="M21" s="14">
        <f t="shared" si="9"/>
        <v>70147.5</v>
      </c>
      <c r="N21" s="18">
        <f>SUM(B21:M21)</f>
        <v>841770</v>
      </c>
    </row>
    <row r="22" spans="1:18" ht="15" customHeight="1" x14ac:dyDescent="0.3">
      <c r="A22" s="2" t="s">
        <v>29</v>
      </c>
      <c r="B22" s="14">
        <f>(B18+B19+B20)*0.0765</f>
        <v>14583.00375</v>
      </c>
      <c r="C22" s="14">
        <f t="shared" ref="C22:M22" si="10">(C18+C19+C20)*0.0765</f>
        <v>9216.7199999999993</v>
      </c>
      <c r="D22" s="14">
        <f t="shared" si="10"/>
        <v>9216.7199999999993</v>
      </c>
      <c r="E22" s="14">
        <f t="shared" si="10"/>
        <v>9216.7199999999993</v>
      </c>
      <c r="F22" s="14">
        <f t="shared" si="10"/>
        <v>9216.7199999999993</v>
      </c>
      <c r="G22" s="14">
        <f t="shared" si="10"/>
        <v>9216.7199999999993</v>
      </c>
      <c r="H22" s="14">
        <f t="shared" si="10"/>
        <v>9216.7199999999993</v>
      </c>
      <c r="I22" s="14">
        <f t="shared" si="10"/>
        <v>9216.7199999999993</v>
      </c>
      <c r="J22" s="14">
        <f t="shared" si="10"/>
        <v>9216.7199999999993</v>
      </c>
      <c r="K22" s="14">
        <f t="shared" si="10"/>
        <v>9216.7199999999993</v>
      </c>
      <c r="L22" s="14">
        <f t="shared" si="10"/>
        <v>9216.7199999999993</v>
      </c>
      <c r="M22" s="14">
        <f t="shared" si="10"/>
        <v>9216.7199999999993</v>
      </c>
      <c r="N22" s="18">
        <f t="shared" si="7"/>
        <v>115966.92375</v>
      </c>
    </row>
    <row r="23" spans="1:18" ht="15" customHeight="1" x14ac:dyDescent="0.3">
      <c r="A23" s="2" t="s">
        <v>61</v>
      </c>
      <c r="B23" s="14">
        <f t="shared" ref="B23:M23" si="11">SUM(B10)*700</f>
        <v>31500</v>
      </c>
      <c r="C23" s="14">
        <f t="shared" si="11"/>
        <v>31500</v>
      </c>
      <c r="D23" s="14">
        <f t="shared" si="11"/>
        <v>31500</v>
      </c>
      <c r="E23" s="14">
        <f t="shared" si="11"/>
        <v>31500</v>
      </c>
      <c r="F23" s="14">
        <f t="shared" si="11"/>
        <v>31500</v>
      </c>
      <c r="G23" s="14">
        <f t="shared" si="11"/>
        <v>31500</v>
      </c>
      <c r="H23" s="14">
        <f t="shared" si="11"/>
        <v>31500</v>
      </c>
      <c r="I23" s="14">
        <f t="shared" si="11"/>
        <v>31500</v>
      </c>
      <c r="J23" s="14">
        <f t="shared" si="11"/>
        <v>31500</v>
      </c>
      <c r="K23" s="14">
        <f t="shared" si="11"/>
        <v>31500</v>
      </c>
      <c r="L23" s="14">
        <f t="shared" si="11"/>
        <v>31500</v>
      </c>
      <c r="M23" s="14">
        <f t="shared" si="11"/>
        <v>31500</v>
      </c>
      <c r="N23" s="61">
        <f>SUM(B23:M23)</f>
        <v>378000</v>
      </c>
    </row>
    <row r="24" spans="1:18" ht="15" customHeight="1" x14ac:dyDescent="0.3">
      <c r="A24" s="2" t="s">
        <v>62</v>
      </c>
      <c r="B24" s="14">
        <f>SUM(B18:B21)*3%</f>
        <v>7823.25</v>
      </c>
      <c r="C24" s="14">
        <f t="shared" ref="C24:L24" si="12">SUM(C18:C21)*3%</f>
        <v>5718.8249999999998</v>
      </c>
      <c r="D24" s="14">
        <f t="shared" si="12"/>
        <v>5718.8249999999998</v>
      </c>
      <c r="E24" s="14">
        <f t="shared" si="12"/>
        <v>5718.8249999999998</v>
      </c>
      <c r="F24" s="14">
        <f t="shared" si="12"/>
        <v>5718.8249999999998</v>
      </c>
      <c r="G24" s="14">
        <f t="shared" si="12"/>
        <v>5718.8249999999998</v>
      </c>
      <c r="H24" s="14">
        <f>SUM(H18:H21)*3%</f>
        <v>5718.8249999999998</v>
      </c>
      <c r="I24" s="14">
        <f t="shared" si="12"/>
        <v>5718.8249999999998</v>
      </c>
      <c r="J24" s="14">
        <f t="shared" si="12"/>
        <v>5718.8249999999998</v>
      </c>
      <c r="K24" s="14">
        <f t="shared" si="12"/>
        <v>5718.8249999999998</v>
      </c>
      <c r="L24" s="14">
        <f t="shared" si="12"/>
        <v>5718.8249999999998</v>
      </c>
      <c r="M24" s="14">
        <f>SUM(M18:M21)*3%</f>
        <v>5718.8249999999998</v>
      </c>
      <c r="N24" s="61">
        <f>SUM(B24:M24)</f>
        <v>70730.324999999983</v>
      </c>
    </row>
    <row r="25" spans="1:18" ht="15" customHeight="1" x14ac:dyDescent="0.3">
      <c r="A25" s="2" t="s">
        <v>11</v>
      </c>
      <c r="B25" s="14">
        <v>800</v>
      </c>
      <c r="C25" s="14">
        <v>800</v>
      </c>
      <c r="D25" s="14">
        <f t="shared" ref="D25:M25" si="13">SUM(500*D8)</f>
        <v>12000</v>
      </c>
      <c r="E25" s="14">
        <f t="shared" si="13"/>
        <v>12000</v>
      </c>
      <c r="F25" s="14">
        <f t="shared" si="13"/>
        <v>12000</v>
      </c>
      <c r="G25" s="14">
        <f t="shared" si="13"/>
        <v>12000</v>
      </c>
      <c r="H25" s="14">
        <f t="shared" si="13"/>
        <v>12000</v>
      </c>
      <c r="I25" s="14">
        <f t="shared" si="13"/>
        <v>12000</v>
      </c>
      <c r="J25" s="14">
        <f t="shared" si="13"/>
        <v>12000</v>
      </c>
      <c r="K25" s="14">
        <f t="shared" si="13"/>
        <v>12000</v>
      </c>
      <c r="L25" s="14">
        <f t="shared" si="13"/>
        <v>12000</v>
      </c>
      <c r="M25" s="14">
        <f t="shared" si="13"/>
        <v>12000</v>
      </c>
      <c r="N25" s="18">
        <f t="shared" si="7"/>
        <v>121600</v>
      </c>
    </row>
    <row r="26" spans="1:18" ht="15" customHeight="1" x14ac:dyDescent="0.3">
      <c r="A26" s="2" t="s">
        <v>12</v>
      </c>
      <c r="B26" s="14">
        <f>39*B10+39</f>
        <v>1794</v>
      </c>
      <c r="C26" s="14">
        <f t="shared" ref="C26:M26" si="14">39*C10</f>
        <v>1755</v>
      </c>
      <c r="D26" s="14">
        <f t="shared" si="14"/>
        <v>1755</v>
      </c>
      <c r="E26" s="14">
        <f t="shared" si="14"/>
        <v>1755</v>
      </c>
      <c r="F26" s="14">
        <f t="shared" si="14"/>
        <v>1755</v>
      </c>
      <c r="G26" s="14">
        <f t="shared" si="14"/>
        <v>1755</v>
      </c>
      <c r="H26" s="14">
        <f t="shared" si="14"/>
        <v>1755</v>
      </c>
      <c r="I26" s="14">
        <f t="shared" si="14"/>
        <v>1755</v>
      </c>
      <c r="J26" s="14">
        <f t="shared" si="14"/>
        <v>1755</v>
      </c>
      <c r="K26" s="14">
        <f t="shared" si="14"/>
        <v>1755</v>
      </c>
      <c r="L26" s="14">
        <f t="shared" si="14"/>
        <v>1755</v>
      </c>
      <c r="M26" s="14">
        <f t="shared" si="14"/>
        <v>1755</v>
      </c>
      <c r="N26" s="18">
        <f t="shared" si="7"/>
        <v>21099</v>
      </c>
    </row>
    <row r="27" spans="1:18" ht="15" customHeight="1" x14ac:dyDescent="0.3">
      <c r="A27" s="2" t="s">
        <v>84</v>
      </c>
      <c r="B27" s="14">
        <f t="shared" ref="B27:M27" si="15">SUM(28*B6)+(52*B7)+52</f>
        <v>596</v>
      </c>
      <c r="C27" s="14">
        <f t="shared" si="15"/>
        <v>596</v>
      </c>
      <c r="D27" s="14">
        <f t="shared" si="15"/>
        <v>596</v>
      </c>
      <c r="E27" s="14">
        <f t="shared" si="15"/>
        <v>596</v>
      </c>
      <c r="F27" s="14">
        <f t="shared" si="15"/>
        <v>596</v>
      </c>
      <c r="G27" s="14">
        <f t="shared" si="15"/>
        <v>596</v>
      </c>
      <c r="H27" s="14">
        <f t="shared" si="15"/>
        <v>596</v>
      </c>
      <c r="I27" s="14">
        <f t="shared" si="15"/>
        <v>596</v>
      </c>
      <c r="J27" s="14">
        <f t="shared" si="15"/>
        <v>596</v>
      </c>
      <c r="K27" s="14">
        <f t="shared" si="15"/>
        <v>596</v>
      </c>
      <c r="L27" s="14">
        <f t="shared" si="15"/>
        <v>596</v>
      </c>
      <c r="M27" s="14">
        <f t="shared" si="15"/>
        <v>596</v>
      </c>
      <c r="N27" s="18">
        <f t="shared" si="7"/>
        <v>7152</v>
      </c>
      <c r="P27" s="27"/>
    </row>
    <row r="28" spans="1:18" ht="15" customHeight="1" x14ac:dyDescent="0.3">
      <c r="A28" s="2" t="s">
        <v>13</v>
      </c>
      <c r="B28" s="14">
        <v>850</v>
      </c>
      <c r="C28" s="14">
        <v>850</v>
      </c>
      <c r="D28" s="14">
        <v>850</v>
      </c>
      <c r="E28" s="14">
        <v>850</v>
      </c>
      <c r="F28" s="14">
        <v>850</v>
      </c>
      <c r="G28" s="14">
        <v>850</v>
      </c>
      <c r="H28" s="14">
        <v>850</v>
      </c>
      <c r="I28" s="14">
        <v>850</v>
      </c>
      <c r="J28" s="14">
        <v>850</v>
      </c>
      <c r="K28" s="14">
        <v>850</v>
      </c>
      <c r="L28" s="14">
        <v>850</v>
      </c>
      <c r="M28" s="14">
        <v>850</v>
      </c>
      <c r="N28" s="18">
        <f t="shared" si="7"/>
        <v>10200</v>
      </c>
      <c r="P28" s="27"/>
    </row>
    <row r="29" spans="1:18" ht="15" customHeight="1" x14ac:dyDescent="0.3">
      <c r="A29" s="2" t="s">
        <v>14</v>
      </c>
      <c r="B29" s="14">
        <f>SUM(B8*500)</f>
        <v>12000</v>
      </c>
      <c r="C29" s="14">
        <v>1800</v>
      </c>
      <c r="D29" s="14">
        <v>1800</v>
      </c>
      <c r="E29" s="14">
        <f t="shared" ref="E29:M29" si="16">SUM(E8*750)</f>
        <v>18000</v>
      </c>
      <c r="F29" s="14">
        <f t="shared" si="16"/>
        <v>18000</v>
      </c>
      <c r="G29" s="14">
        <f t="shared" si="16"/>
        <v>18000</v>
      </c>
      <c r="H29" s="14">
        <f t="shared" si="16"/>
        <v>18000</v>
      </c>
      <c r="I29" s="14">
        <f t="shared" si="16"/>
        <v>18000</v>
      </c>
      <c r="J29" s="14">
        <f t="shared" si="16"/>
        <v>18000</v>
      </c>
      <c r="K29" s="14">
        <f t="shared" si="16"/>
        <v>18000</v>
      </c>
      <c r="L29" s="14">
        <f t="shared" si="16"/>
        <v>18000</v>
      </c>
      <c r="M29" s="14">
        <f t="shared" si="16"/>
        <v>18000</v>
      </c>
      <c r="N29" s="18">
        <f t="shared" si="7"/>
        <v>177600</v>
      </c>
    </row>
    <row r="30" spans="1:18" ht="15" customHeight="1" x14ac:dyDescent="0.3">
      <c r="A30" s="2" t="s">
        <v>15</v>
      </c>
      <c r="B30" s="14">
        <f t="shared" ref="B30:M30" si="17">500*B8</f>
        <v>12000</v>
      </c>
      <c r="C30" s="14">
        <f t="shared" si="17"/>
        <v>12000</v>
      </c>
      <c r="D30" s="14">
        <f t="shared" si="17"/>
        <v>12000</v>
      </c>
      <c r="E30" s="14">
        <f t="shared" si="17"/>
        <v>12000</v>
      </c>
      <c r="F30" s="14">
        <f t="shared" si="17"/>
        <v>12000</v>
      </c>
      <c r="G30" s="14">
        <f t="shared" si="17"/>
        <v>12000</v>
      </c>
      <c r="H30" s="14">
        <f t="shared" si="17"/>
        <v>12000</v>
      </c>
      <c r="I30" s="14">
        <f t="shared" si="17"/>
        <v>12000</v>
      </c>
      <c r="J30" s="14">
        <f t="shared" si="17"/>
        <v>12000</v>
      </c>
      <c r="K30" s="14">
        <f t="shared" si="17"/>
        <v>12000</v>
      </c>
      <c r="L30" s="14">
        <f t="shared" si="17"/>
        <v>12000</v>
      </c>
      <c r="M30" s="14">
        <f t="shared" si="17"/>
        <v>12000</v>
      </c>
      <c r="N30" s="18">
        <f t="shared" si="7"/>
        <v>144000</v>
      </c>
    </row>
    <row r="31" spans="1:18" ht="15" customHeight="1" x14ac:dyDescent="0.3">
      <c r="A31" s="2" t="s">
        <v>16</v>
      </c>
      <c r="B31" s="14">
        <f t="shared" ref="B31:M31" si="18">600*B8</f>
        <v>14400</v>
      </c>
      <c r="C31" s="14">
        <f t="shared" si="18"/>
        <v>14400</v>
      </c>
      <c r="D31" s="14">
        <f t="shared" si="18"/>
        <v>14400</v>
      </c>
      <c r="E31" s="14">
        <f t="shared" si="18"/>
        <v>14400</v>
      </c>
      <c r="F31" s="14">
        <f t="shared" si="18"/>
        <v>14400</v>
      </c>
      <c r="G31" s="14">
        <f t="shared" si="18"/>
        <v>14400</v>
      </c>
      <c r="H31" s="14">
        <f t="shared" si="18"/>
        <v>14400</v>
      </c>
      <c r="I31" s="14">
        <f t="shared" si="18"/>
        <v>14400</v>
      </c>
      <c r="J31" s="14">
        <f t="shared" si="18"/>
        <v>14400</v>
      </c>
      <c r="K31" s="14">
        <f t="shared" si="18"/>
        <v>14400</v>
      </c>
      <c r="L31" s="14">
        <f t="shared" si="18"/>
        <v>14400</v>
      </c>
      <c r="M31" s="14">
        <f t="shared" si="18"/>
        <v>14400</v>
      </c>
      <c r="N31" s="18">
        <f t="shared" si="7"/>
        <v>172800</v>
      </c>
    </row>
    <row r="32" spans="1:18" ht="15" customHeight="1" x14ac:dyDescent="0.3">
      <c r="A32" s="2" t="s">
        <v>17</v>
      </c>
      <c r="B32" s="14">
        <f t="shared" ref="B32:M32" si="19">25*B8</f>
        <v>600</v>
      </c>
      <c r="C32" s="14">
        <f t="shared" si="19"/>
        <v>600</v>
      </c>
      <c r="D32" s="14">
        <f t="shared" si="19"/>
        <v>600</v>
      </c>
      <c r="E32" s="14">
        <f t="shared" si="19"/>
        <v>600</v>
      </c>
      <c r="F32" s="14">
        <f t="shared" si="19"/>
        <v>600</v>
      </c>
      <c r="G32" s="14">
        <f t="shared" si="19"/>
        <v>600</v>
      </c>
      <c r="H32" s="14">
        <f t="shared" si="19"/>
        <v>600</v>
      </c>
      <c r="I32" s="14">
        <f t="shared" si="19"/>
        <v>600</v>
      </c>
      <c r="J32" s="14">
        <f t="shared" si="19"/>
        <v>600</v>
      </c>
      <c r="K32" s="14">
        <f t="shared" si="19"/>
        <v>600</v>
      </c>
      <c r="L32" s="14">
        <f t="shared" si="19"/>
        <v>600</v>
      </c>
      <c r="M32" s="14">
        <f t="shared" si="19"/>
        <v>600</v>
      </c>
      <c r="N32" s="18">
        <f t="shared" si="7"/>
        <v>7200</v>
      </c>
    </row>
    <row r="33" spans="1:15" ht="15" customHeight="1" x14ac:dyDescent="0.3">
      <c r="A33" s="2" t="s">
        <v>40</v>
      </c>
      <c r="B33" s="14">
        <f t="shared" ref="B33:M33" si="20">1800*B8</f>
        <v>43200</v>
      </c>
      <c r="C33" s="14">
        <f t="shared" si="20"/>
        <v>43200</v>
      </c>
      <c r="D33" s="14">
        <f t="shared" si="20"/>
        <v>43200</v>
      </c>
      <c r="E33" s="14">
        <f t="shared" si="20"/>
        <v>43200</v>
      </c>
      <c r="F33" s="14">
        <f t="shared" si="20"/>
        <v>43200</v>
      </c>
      <c r="G33" s="14">
        <f t="shared" si="20"/>
        <v>43200</v>
      </c>
      <c r="H33" s="14">
        <f t="shared" si="20"/>
        <v>43200</v>
      </c>
      <c r="I33" s="14">
        <f t="shared" si="20"/>
        <v>43200</v>
      </c>
      <c r="J33" s="14">
        <f t="shared" si="20"/>
        <v>43200</v>
      </c>
      <c r="K33" s="14">
        <f t="shared" si="20"/>
        <v>43200</v>
      </c>
      <c r="L33" s="14">
        <f t="shared" si="20"/>
        <v>43200</v>
      </c>
      <c r="M33" s="14">
        <f t="shared" si="20"/>
        <v>43200</v>
      </c>
      <c r="N33" s="18">
        <f t="shared" si="7"/>
        <v>518400</v>
      </c>
    </row>
    <row r="34" spans="1:15" ht="15" customHeight="1" x14ac:dyDescent="0.3">
      <c r="A34" s="2" t="s">
        <v>54</v>
      </c>
      <c r="B34" s="14">
        <f t="shared" ref="B34:M34" si="21">SUM(B13*4%)</f>
        <v>4776</v>
      </c>
      <c r="C34" s="14">
        <f t="shared" si="21"/>
        <v>4776</v>
      </c>
      <c r="D34" s="14">
        <f t="shared" si="21"/>
        <v>4776</v>
      </c>
      <c r="E34" s="14">
        <f t="shared" si="21"/>
        <v>4776</v>
      </c>
      <c r="F34" s="14">
        <f t="shared" si="21"/>
        <v>4776</v>
      </c>
      <c r="G34" s="14">
        <f t="shared" si="21"/>
        <v>4776</v>
      </c>
      <c r="H34" s="14">
        <f t="shared" si="21"/>
        <v>4776</v>
      </c>
      <c r="I34" s="14">
        <f t="shared" si="21"/>
        <v>4776</v>
      </c>
      <c r="J34" s="14">
        <f t="shared" si="21"/>
        <v>4776</v>
      </c>
      <c r="K34" s="14">
        <f t="shared" si="21"/>
        <v>4776</v>
      </c>
      <c r="L34" s="14">
        <f t="shared" si="21"/>
        <v>4776</v>
      </c>
      <c r="M34" s="14">
        <f t="shared" si="21"/>
        <v>4776</v>
      </c>
      <c r="N34" s="18">
        <f>SUM(B34:M34)</f>
        <v>57312</v>
      </c>
    </row>
    <row r="35" spans="1:15" ht="15" customHeight="1" x14ac:dyDescent="0.3">
      <c r="A35" s="82" t="s">
        <v>81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8"/>
    </row>
    <row r="36" spans="1:15" ht="15" customHeight="1" x14ac:dyDescent="0.3">
      <c r="A36" s="3" t="s">
        <v>82</v>
      </c>
      <c r="B36" s="14">
        <v>500</v>
      </c>
      <c r="C36" s="14">
        <f>SUM(C8)*50</f>
        <v>1200</v>
      </c>
      <c r="D36" s="14">
        <f t="shared" ref="D36:M36" si="22">SUM(D8)*50</f>
        <v>1200</v>
      </c>
      <c r="E36" s="14">
        <f t="shared" si="22"/>
        <v>1200</v>
      </c>
      <c r="F36" s="14">
        <f t="shared" si="22"/>
        <v>1200</v>
      </c>
      <c r="G36" s="14">
        <f t="shared" si="22"/>
        <v>1200</v>
      </c>
      <c r="H36" s="14">
        <f t="shared" si="22"/>
        <v>1200</v>
      </c>
      <c r="I36" s="14">
        <f t="shared" si="22"/>
        <v>1200</v>
      </c>
      <c r="J36" s="14">
        <f t="shared" si="22"/>
        <v>1200</v>
      </c>
      <c r="K36" s="14">
        <f t="shared" si="22"/>
        <v>1200</v>
      </c>
      <c r="L36" s="14">
        <f t="shared" si="22"/>
        <v>1200</v>
      </c>
      <c r="M36" s="14">
        <f t="shared" si="22"/>
        <v>1200</v>
      </c>
      <c r="N36" s="15">
        <f t="shared" ref="N36:N37" si="23">SUM(B36:M36)</f>
        <v>13700</v>
      </c>
      <c r="O36" s="25"/>
    </row>
    <row r="37" spans="1:15" ht="15" customHeight="1" x14ac:dyDescent="0.3">
      <c r="A37" s="3" t="s">
        <v>83</v>
      </c>
      <c r="B37" s="14"/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1250</v>
      </c>
      <c r="I37" s="14">
        <v>0</v>
      </c>
      <c r="J37" s="14">
        <v>0</v>
      </c>
      <c r="K37" s="14">
        <v>0</v>
      </c>
      <c r="L37" s="14"/>
      <c r="M37" s="14"/>
      <c r="N37" s="15">
        <f t="shared" si="23"/>
        <v>1250</v>
      </c>
    </row>
    <row r="38" spans="1:15" ht="15" customHeight="1" x14ac:dyDescent="0.3">
      <c r="A38" s="3" t="s">
        <v>85</v>
      </c>
      <c r="B38" s="14"/>
      <c r="C38" s="14">
        <f>SUM(C8*105)</f>
        <v>2520</v>
      </c>
      <c r="D38" s="14">
        <v>0</v>
      </c>
      <c r="E38" s="14">
        <v>0</v>
      </c>
      <c r="F38" s="14">
        <v>0</v>
      </c>
      <c r="G38" s="14">
        <v>0</v>
      </c>
      <c r="H38" s="14">
        <f>SUM(H8*105)</f>
        <v>2520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5">
        <f t="shared" ref="N38:N40" si="24">SUM(B38:M38)</f>
        <v>5040</v>
      </c>
    </row>
    <row r="39" spans="1:15" ht="15" customHeight="1" x14ac:dyDescent="0.3">
      <c r="A39" s="3" t="s">
        <v>86</v>
      </c>
      <c r="B39" s="14">
        <f>SUM(B9*56)</f>
        <v>224</v>
      </c>
      <c r="C39" s="14"/>
      <c r="D39" s="14"/>
      <c r="E39" s="14"/>
      <c r="F39" s="14"/>
      <c r="G39" s="14"/>
      <c r="H39" s="14">
        <f>SUM(H9*105)</f>
        <v>420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5">
        <f t="shared" si="24"/>
        <v>644</v>
      </c>
    </row>
    <row r="40" spans="1:15" ht="15" customHeight="1" x14ac:dyDescent="0.3">
      <c r="A40" s="3" t="s">
        <v>87</v>
      </c>
      <c r="B40" s="14">
        <f>SUM(B5*105)</f>
        <v>105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5">
        <f t="shared" si="24"/>
        <v>105</v>
      </c>
    </row>
    <row r="41" spans="1:15" ht="15" customHeight="1" x14ac:dyDescent="0.3">
      <c r="A41" s="6" t="s">
        <v>8</v>
      </c>
      <c r="B41" s="15">
        <f t="shared" ref="B41:N41" si="25">SUM(B18:B34)</f>
        <v>405697.25374999997</v>
      </c>
      <c r="C41" s="15">
        <f t="shared" si="25"/>
        <v>317840.04500000004</v>
      </c>
      <c r="D41" s="15">
        <f t="shared" si="25"/>
        <v>329040.04500000004</v>
      </c>
      <c r="E41" s="15">
        <f t="shared" si="25"/>
        <v>345240.04500000004</v>
      </c>
      <c r="F41" s="15">
        <f t="shared" si="25"/>
        <v>345240.04500000004</v>
      </c>
      <c r="G41" s="15">
        <f t="shared" si="25"/>
        <v>345240.04500000004</v>
      </c>
      <c r="H41" s="15">
        <f t="shared" si="25"/>
        <v>345240.04500000004</v>
      </c>
      <c r="I41" s="15">
        <f t="shared" si="25"/>
        <v>345240.04500000004</v>
      </c>
      <c r="J41" s="15">
        <f t="shared" si="25"/>
        <v>345240.04500000004</v>
      </c>
      <c r="K41" s="15">
        <f t="shared" si="25"/>
        <v>345240.04500000004</v>
      </c>
      <c r="L41" s="15">
        <f t="shared" si="25"/>
        <v>345240.04500000004</v>
      </c>
      <c r="M41" s="15">
        <f t="shared" si="25"/>
        <v>345240.04500000004</v>
      </c>
      <c r="N41" s="18">
        <f t="shared" si="25"/>
        <v>4159737.7487500003</v>
      </c>
    </row>
    <row r="42" spans="1:15" ht="15" customHeight="1" x14ac:dyDescent="0.3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</row>
    <row r="43" spans="1:15" ht="15" customHeight="1" x14ac:dyDescent="0.3">
      <c r="A43" s="11" t="s">
        <v>33</v>
      </c>
      <c r="B43" s="15">
        <f t="shared" ref="B43:N43" si="26">B15-B41</f>
        <v>2545702.7462499999</v>
      </c>
      <c r="C43" s="15">
        <f t="shared" si="26"/>
        <v>2633559.9550000001</v>
      </c>
      <c r="D43" s="15">
        <f t="shared" si="26"/>
        <v>2622359.9550000001</v>
      </c>
      <c r="E43" s="15">
        <f t="shared" si="26"/>
        <v>2606159.9550000001</v>
      </c>
      <c r="F43" s="15">
        <f t="shared" si="26"/>
        <v>2606159.9550000001</v>
      </c>
      <c r="G43" s="15">
        <f t="shared" si="26"/>
        <v>2606159.9550000001</v>
      </c>
      <c r="H43" s="15">
        <f t="shared" si="26"/>
        <v>2606159.9550000001</v>
      </c>
      <c r="I43" s="15">
        <f t="shared" si="26"/>
        <v>2606159.9550000001</v>
      </c>
      <c r="J43" s="15">
        <f t="shared" si="26"/>
        <v>2606159.9550000001</v>
      </c>
      <c r="K43" s="15">
        <f t="shared" si="26"/>
        <v>2606159.9550000001</v>
      </c>
      <c r="L43" s="15">
        <f t="shared" si="26"/>
        <v>2606159.9550000001</v>
      </c>
      <c r="M43" s="15">
        <f t="shared" si="26"/>
        <v>2606159.9550000001</v>
      </c>
      <c r="N43" s="61">
        <f t="shared" si="26"/>
        <v>31257062.251249999</v>
      </c>
    </row>
    <row r="44" spans="1:15" ht="15" customHeight="1" x14ac:dyDescent="0.3">
      <c r="A44" s="12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8"/>
    </row>
    <row r="45" spans="1:15" ht="15" customHeight="1" x14ac:dyDescent="0.3"/>
    <row r="46" spans="1:15" ht="15" customHeight="1" x14ac:dyDescent="0.3">
      <c r="A46" s="10" t="s">
        <v>18</v>
      </c>
      <c r="O46" s="69"/>
    </row>
    <row r="47" spans="1:15" ht="15" customHeight="1" x14ac:dyDescent="0.3">
      <c r="A47" s="2" t="s">
        <v>19</v>
      </c>
      <c r="B47" s="14">
        <f>SUM('FE Sales YR 4'!M51)</f>
        <v>20443046.701389603</v>
      </c>
      <c r="C47" s="14">
        <f>B51</f>
        <v>21682634.701389603</v>
      </c>
      <c r="D47" s="14">
        <f t="shared" ref="D47:M47" si="27">C48</f>
        <v>24634034.701389603</v>
      </c>
      <c r="E47" s="14">
        <f t="shared" si="27"/>
        <v>27585434.701389603</v>
      </c>
      <c r="F47" s="14">
        <f t="shared" si="27"/>
        <v>30536834.701389603</v>
      </c>
      <c r="G47" s="14">
        <f t="shared" si="27"/>
        <v>33488234.701389603</v>
      </c>
      <c r="H47" s="14">
        <f t="shared" si="27"/>
        <v>36439634.701389603</v>
      </c>
      <c r="I47" s="14">
        <f t="shared" si="27"/>
        <v>39391034.701389603</v>
      </c>
      <c r="J47" s="14">
        <f t="shared" si="27"/>
        <v>42342434.701389603</v>
      </c>
      <c r="K47" s="14">
        <f t="shared" si="27"/>
        <v>45293834.701389603</v>
      </c>
      <c r="L47" s="14">
        <f t="shared" si="27"/>
        <v>48245234.701389603</v>
      </c>
      <c r="M47" s="14">
        <f t="shared" si="27"/>
        <v>51196634.701389603</v>
      </c>
      <c r="O47" s="69"/>
    </row>
    <row r="48" spans="1:15" ht="15" customHeight="1" x14ac:dyDescent="0.3">
      <c r="A48" s="2" t="s">
        <v>20</v>
      </c>
      <c r="B48" s="14">
        <f t="shared" ref="B48:M48" si="28">B15+B47</f>
        <v>23394446.701389603</v>
      </c>
      <c r="C48" s="14">
        <f t="shared" si="28"/>
        <v>24634034.701389603</v>
      </c>
      <c r="D48" s="14">
        <f t="shared" si="28"/>
        <v>27585434.701389603</v>
      </c>
      <c r="E48" s="14">
        <f t="shared" si="28"/>
        <v>30536834.701389603</v>
      </c>
      <c r="F48" s="14">
        <f t="shared" si="28"/>
        <v>33488234.701389603</v>
      </c>
      <c r="G48" s="14">
        <f t="shared" si="28"/>
        <v>36439634.701389603</v>
      </c>
      <c r="H48" s="14">
        <f t="shared" si="28"/>
        <v>39391034.701389603</v>
      </c>
      <c r="I48" s="14">
        <f t="shared" si="28"/>
        <v>42342434.701389603</v>
      </c>
      <c r="J48" s="14">
        <f t="shared" si="28"/>
        <v>45293834.701389603</v>
      </c>
      <c r="K48" s="14">
        <f t="shared" si="28"/>
        <v>48245234.701389603</v>
      </c>
      <c r="L48" s="14">
        <f t="shared" si="28"/>
        <v>51196634.701389603</v>
      </c>
      <c r="M48" s="14">
        <f t="shared" si="28"/>
        <v>54148034.701389603</v>
      </c>
      <c r="O48" s="69"/>
    </row>
    <row r="49" spans="1:20" ht="15" customHeight="1" x14ac:dyDescent="0.3">
      <c r="A49" s="3" t="s">
        <v>77</v>
      </c>
      <c r="B49" s="29">
        <f>SUM(B77:B81)</f>
        <v>1711812</v>
      </c>
      <c r="C49" s="29">
        <f t="shared" ref="C49:M49" si="29">SUM(C77:C81)</f>
        <v>1711812</v>
      </c>
      <c r="D49" s="29">
        <f t="shared" si="29"/>
        <v>1711812</v>
      </c>
      <c r="E49" s="29">
        <f t="shared" si="29"/>
        <v>1711812</v>
      </c>
      <c r="F49" s="29">
        <f t="shared" si="29"/>
        <v>1711812</v>
      </c>
      <c r="G49" s="29">
        <f t="shared" si="29"/>
        <v>1711812</v>
      </c>
      <c r="H49" s="29">
        <f t="shared" si="29"/>
        <v>1711812</v>
      </c>
      <c r="I49" s="29">
        <f t="shared" si="29"/>
        <v>1711812</v>
      </c>
      <c r="J49" s="29">
        <f t="shared" si="29"/>
        <v>1711812</v>
      </c>
      <c r="K49" s="29">
        <f t="shared" si="29"/>
        <v>1711812</v>
      </c>
      <c r="L49" s="29">
        <f t="shared" si="29"/>
        <v>1711812</v>
      </c>
      <c r="M49" s="29">
        <f t="shared" si="29"/>
        <v>1711812</v>
      </c>
    </row>
    <row r="50" spans="1:20" ht="15" customHeight="1" x14ac:dyDescent="0.3">
      <c r="A50" s="3" t="s">
        <v>79</v>
      </c>
      <c r="B50" s="29"/>
      <c r="C50" s="29">
        <v>0</v>
      </c>
      <c r="D50" s="29"/>
      <c r="E50" s="29">
        <f>SUM('FE Sales YR 4'!S75)</f>
        <v>2553522.2720725769</v>
      </c>
      <c r="F50" s="29"/>
      <c r="G50" s="29"/>
      <c r="H50" s="29"/>
      <c r="I50" s="29"/>
      <c r="J50" s="29"/>
      <c r="K50" s="29"/>
      <c r="L50" s="29"/>
      <c r="M50" s="29"/>
    </row>
    <row r="51" spans="1:20" ht="15" customHeight="1" x14ac:dyDescent="0.3">
      <c r="A51" s="3" t="s">
        <v>80</v>
      </c>
      <c r="B51" s="76">
        <f>SUM(B48)-B49-B50</f>
        <v>21682634.701389603</v>
      </c>
      <c r="C51" s="76">
        <f t="shared" ref="C51:M51" si="30">SUM(C48)-C49-C50</f>
        <v>22922222.701389603</v>
      </c>
      <c r="D51" s="76">
        <f t="shared" si="30"/>
        <v>25873622.701389603</v>
      </c>
      <c r="E51" s="76">
        <f t="shared" si="30"/>
        <v>26271500.429317027</v>
      </c>
      <c r="F51" s="76">
        <f t="shared" si="30"/>
        <v>31776422.701389603</v>
      </c>
      <c r="G51" s="76">
        <f t="shared" si="30"/>
        <v>34727822.701389603</v>
      </c>
      <c r="H51" s="76">
        <f t="shared" si="30"/>
        <v>37679222.701389603</v>
      </c>
      <c r="I51" s="76">
        <f t="shared" si="30"/>
        <v>40630622.701389603</v>
      </c>
      <c r="J51" s="76">
        <f t="shared" si="30"/>
        <v>43582022.701389603</v>
      </c>
      <c r="K51" s="76">
        <f t="shared" si="30"/>
        <v>46533422.701389603</v>
      </c>
      <c r="L51" s="76">
        <f t="shared" si="30"/>
        <v>49484822.701389603</v>
      </c>
      <c r="M51" s="76">
        <f t="shared" si="30"/>
        <v>52436222.701389603</v>
      </c>
      <c r="P51" s="52"/>
      <c r="Q51" s="52" t="s">
        <v>69</v>
      </c>
      <c r="R51" s="52" t="s">
        <v>65</v>
      </c>
      <c r="S51" s="62" t="s">
        <v>67</v>
      </c>
      <c r="T51" s="62" t="s">
        <v>66</v>
      </c>
    </row>
    <row r="52" spans="1:20" ht="15" customHeight="1" x14ac:dyDescent="0.3">
      <c r="P52" s="50" t="s">
        <v>1</v>
      </c>
      <c r="Q52" s="74">
        <f>SUM(N66)/N5</f>
        <v>531252</v>
      </c>
      <c r="R52" s="51">
        <v>8400</v>
      </c>
      <c r="S52" s="51">
        <f>SUM(N66*3%)/N5</f>
        <v>15937.56</v>
      </c>
      <c r="T52" s="49">
        <f>SUM(Q52:S52)/12</f>
        <v>46299.130000000005</v>
      </c>
    </row>
    <row r="53" spans="1:20" ht="15" customHeight="1" x14ac:dyDescent="0.3">
      <c r="P53" s="50" t="s">
        <v>2</v>
      </c>
      <c r="Q53" s="74">
        <f>SUM(N67)/N6</f>
        <v>66892.5</v>
      </c>
      <c r="R53" s="51">
        <v>8400</v>
      </c>
      <c r="S53" s="51">
        <f>SUM(N67*3%)/N6</f>
        <v>2006.7749999999999</v>
      </c>
      <c r="T53" s="49">
        <f t="shared" ref="T53:T56" si="31">SUM(Q53:S53)/12</f>
        <v>6441.6062499999998</v>
      </c>
    </row>
    <row r="54" spans="1:20" ht="15" customHeight="1" x14ac:dyDescent="0.3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P54" s="50" t="s">
        <v>4</v>
      </c>
      <c r="Q54" s="74">
        <f>SUM(N68)/N7</f>
        <v>88542</v>
      </c>
      <c r="R54" s="51">
        <v>8400</v>
      </c>
      <c r="S54" s="51">
        <f>SUM(N68*3%)/N7</f>
        <v>2656.2599999999998</v>
      </c>
      <c r="T54" s="49">
        <f t="shared" si="31"/>
        <v>8299.8549999999996</v>
      </c>
    </row>
    <row r="55" spans="1:20" ht="15" customHeight="1" x14ac:dyDescent="0.3">
      <c r="P55" s="50" t="s">
        <v>3</v>
      </c>
      <c r="Q55" s="74">
        <f>SUM(N69)/N8</f>
        <v>110490</v>
      </c>
      <c r="R55" s="51">
        <v>8400</v>
      </c>
      <c r="S55" s="51">
        <f>SUM(N69*3%)/N8</f>
        <v>3314.7000000000003</v>
      </c>
      <c r="T55" s="49">
        <f t="shared" si="31"/>
        <v>10183.725</v>
      </c>
    </row>
    <row r="56" spans="1:20" ht="15" customHeight="1" x14ac:dyDescent="0.3">
      <c r="A56" s="10" t="s">
        <v>41</v>
      </c>
      <c r="P56" s="50" t="s">
        <v>5</v>
      </c>
      <c r="Q56" s="74">
        <f>SUM(N70)/N9</f>
        <v>166590.00000000003</v>
      </c>
      <c r="R56" s="51">
        <v>8400</v>
      </c>
      <c r="S56" s="51">
        <f>SUM(N70*3%)/N9</f>
        <v>4997.7000000000007</v>
      </c>
      <c r="T56" s="49">
        <f t="shared" si="31"/>
        <v>14998.975000000004</v>
      </c>
    </row>
    <row r="57" spans="1:20" ht="15" customHeight="1" x14ac:dyDescent="0.3">
      <c r="A57" s="2" t="s">
        <v>1</v>
      </c>
      <c r="B57" s="34">
        <f t="shared" ref="B57:M57" si="32">SUM(B66)/B15</f>
        <v>1.4999999999999999E-2</v>
      </c>
      <c r="C57" s="34">
        <f t="shared" si="32"/>
        <v>1.4999999999999999E-2</v>
      </c>
      <c r="D57" s="34">
        <f t="shared" si="32"/>
        <v>1.4999999999999999E-2</v>
      </c>
      <c r="E57" s="34">
        <f t="shared" si="32"/>
        <v>1.4999999999999999E-2</v>
      </c>
      <c r="F57" s="34">
        <f t="shared" si="32"/>
        <v>1.4999999999999999E-2</v>
      </c>
      <c r="G57" s="34">
        <f t="shared" si="32"/>
        <v>1.4999999999999999E-2</v>
      </c>
      <c r="H57" s="34">
        <f t="shared" si="32"/>
        <v>1.4999999999999999E-2</v>
      </c>
      <c r="I57" s="34">
        <f t="shared" si="32"/>
        <v>1.4999999999999999E-2</v>
      </c>
      <c r="J57" s="34">
        <f t="shared" si="32"/>
        <v>1.4999999999999999E-2</v>
      </c>
      <c r="K57" s="34">
        <f t="shared" si="32"/>
        <v>1.4999999999999999E-2</v>
      </c>
      <c r="L57" s="34">
        <f t="shared" si="32"/>
        <v>1.4999999999999999E-2</v>
      </c>
      <c r="M57" s="34">
        <f t="shared" si="32"/>
        <v>1.4999999999999999E-2</v>
      </c>
    </row>
    <row r="58" spans="1:20" ht="15" customHeight="1" x14ac:dyDescent="0.3">
      <c r="A58" s="2" t="s">
        <v>2</v>
      </c>
      <c r="B58" s="34">
        <f t="shared" ref="B58:M58" si="33">SUM(B67)/B15</f>
        <v>2.2664667615368977E-2</v>
      </c>
      <c r="C58" s="34">
        <f t="shared" si="33"/>
        <v>2.2664667615368977E-2</v>
      </c>
      <c r="D58" s="34">
        <f t="shared" si="33"/>
        <v>2.2664667615368977E-2</v>
      </c>
      <c r="E58" s="34">
        <f t="shared" si="33"/>
        <v>2.2664667615368977E-2</v>
      </c>
      <c r="F58" s="34">
        <f t="shared" si="33"/>
        <v>2.2664667615368977E-2</v>
      </c>
      <c r="G58" s="34">
        <f t="shared" si="33"/>
        <v>2.2664667615368977E-2</v>
      </c>
      <c r="H58" s="34">
        <f t="shared" si="33"/>
        <v>2.2664667615368977E-2</v>
      </c>
      <c r="I58" s="34">
        <f t="shared" si="33"/>
        <v>2.2664667615368977E-2</v>
      </c>
      <c r="J58" s="34">
        <f t="shared" si="33"/>
        <v>2.2664667615368977E-2</v>
      </c>
      <c r="K58" s="34">
        <f t="shared" si="33"/>
        <v>2.2664667615368977E-2</v>
      </c>
      <c r="L58" s="34">
        <f t="shared" si="33"/>
        <v>2.2664667615368977E-2</v>
      </c>
      <c r="M58" s="34">
        <f t="shared" si="33"/>
        <v>2.2664667615368977E-2</v>
      </c>
    </row>
    <row r="59" spans="1:20" ht="15" customHeight="1" x14ac:dyDescent="0.3">
      <c r="A59" s="2" t="s">
        <v>4</v>
      </c>
      <c r="B59" s="34">
        <f t="shared" ref="B59:M59" si="34">SUM(B68)/B$15</f>
        <v>0.01</v>
      </c>
      <c r="C59" s="34">
        <f t="shared" si="34"/>
        <v>0.01</v>
      </c>
      <c r="D59" s="34">
        <f t="shared" si="34"/>
        <v>0.01</v>
      </c>
      <c r="E59" s="34">
        <f t="shared" si="34"/>
        <v>0.01</v>
      </c>
      <c r="F59" s="34">
        <f t="shared" si="34"/>
        <v>0.01</v>
      </c>
      <c r="G59" s="34">
        <f t="shared" si="34"/>
        <v>0.01</v>
      </c>
      <c r="H59" s="34">
        <f t="shared" si="34"/>
        <v>0.01</v>
      </c>
      <c r="I59" s="34">
        <f t="shared" si="34"/>
        <v>0.01</v>
      </c>
      <c r="J59" s="34">
        <f t="shared" si="34"/>
        <v>0.01</v>
      </c>
      <c r="K59" s="34">
        <f t="shared" si="34"/>
        <v>0.01</v>
      </c>
      <c r="L59" s="34">
        <f t="shared" si="34"/>
        <v>0.01</v>
      </c>
      <c r="M59" s="34">
        <f t="shared" si="34"/>
        <v>0.01</v>
      </c>
    </row>
    <row r="60" spans="1:20" ht="15" customHeight="1" x14ac:dyDescent="0.3">
      <c r="A60" s="2" t="s">
        <v>3</v>
      </c>
      <c r="B60" s="34">
        <f t="shared" ref="B60:M60" si="35">SUM(B69)/B$15</f>
        <v>7.4872941654807887E-2</v>
      </c>
      <c r="C60" s="34">
        <f t="shared" si="35"/>
        <v>7.4872941654807887E-2</v>
      </c>
      <c r="D60" s="34">
        <f t="shared" si="35"/>
        <v>7.4872941654807887E-2</v>
      </c>
      <c r="E60" s="34">
        <f t="shared" si="35"/>
        <v>7.4872941654807887E-2</v>
      </c>
      <c r="F60" s="34">
        <f t="shared" si="35"/>
        <v>7.4872941654807887E-2</v>
      </c>
      <c r="G60" s="34">
        <f t="shared" si="35"/>
        <v>7.4872941654807887E-2</v>
      </c>
      <c r="H60" s="34">
        <f t="shared" si="35"/>
        <v>7.4872941654807887E-2</v>
      </c>
      <c r="I60" s="34">
        <f t="shared" si="35"/>
        <v>7.4872941654807887E-2</v>
      </c>
      <c r="J60" s="34">
        <f t="shared" si="35"/>
        <v>7.4872941654807887E-2</v>
      </c>
      <c r="K60" s="34">
        <f t="shared" si="35"/>
        <v>7.4872941654807887E-2</v>
      </c>
      <c r="L60" s="34">
        <f t="shared" si="35"/>
        <v>7.4872941654807887E-2</v>
      </c>
      <c r="M60" s="34">
        <f t="shared" si="35"/>
        <v>7.4872941654807887E-2</v>
      </c>
    </row>
    <row r="61" spans="1:20" ht="15" customHeight="1" x14ac:dyDescent="0.3">
      <c r="A61" s="2" t="s">
        <v>5</v>
      </c>
      <c r="B61" s="34">
        <f t="shared" ref="B61:M61" si="36">SUM(B70)/B$15</f>
        <v>1.8814799756047981E-2</v>
      </c>
      <c r="C61" s="34">
        <f t="shared" si="36"/>
        <v>1.8814799756047981E-2</v>
      </c>
      <c r="D61" s="34">
        <f t="shared" si="36"/>
        <v>1.8814799756047981E-2</v>
      </c>
      <c r="E61" s="34">
        <f t="shared" si="36"/>
        <v>1.8814799756047981E-2</v>
      </c>
      <c r="F61" s="34">
        <f t="shared" si="36"/>
        <v>1.8814799756047981E-2</v>
      </c>
      <c r="G61" s="34">
        <f t="shared" si="36"/>
        <v>1.8814799756047981E-2</v>
      </c>
      <c r="H61" s="34">
        <f t="shared" si="36"/>
        <v>1.8814799756047981E-2</v>
      </c>
      <c r="I61" s="34">
        <f t="shared" si="36"/>
        <v>1.8814799756047981E-2</v>
      </c>
      <c r="J61" s="34">
        <f t="shared" si="36"/>
        <v>1.8814799756047981E-2</v>
      </c>
      <c r="K61" s="34">
        <f t="shared" si="36"/>
        <v>1.8814799756047981E-2</v>
      </c>
      <c r="L61" s="34">
        <f t="shared" si="36"/>
        <v>1.8814799756047981E-2</v>
      </c>
      <c r="M61" s="34">
        <f t="shared" si="36"/>
        <v>1.8814799756047981E-2</v>
      </c>
    </row>
    <row r="62" spans="1:20" ht="15" customHeight="1" x14ac:dyDescent="0.3">
      <c r="A62" s="31" t="s">
        <v>8</v>
      </c>
      <c r="B62" s="35">
        <f t="shared" ref="B62:M62" si="37">SUM(B57:B61)</f>
        <v>0.14135240902622487</v>
      </c>
      <c r="C62" s="35">
        <f t="shared" si="37"/>
        <v>0.14135240902622487</v>
      </c>
      <c r="D62" s="35">
        <f t="shared" si="37"/>
        <v>0.14135240902622487</v>
      </c>
      <c r="E62" s="35">
        <f t="shared" si="37"/>
        <v>0.14135240902622487</v>
      </c>
      <c r="F62" s="35">
        <f t="shared" si="37"/>
        <v>0.14135240902622487</v>
      </c>
      <c r="G62" s="35">
        <f t="shared" si="37"/>
        <v>0.14135240902622487</v>
      </c>
      <c r="H62" s="35">
        <f t="shared" si="37"/>
        <v>0.14135240902622487</v>
      </c>
      <c r="I62" s="35">
        <f t="shared" si="37"/>
        <v>0.14135240902622487</v>
      </c>
      <c r="J62" s="35">
        <f t="shared" si="37"/>
        <v>0.14135240902622487</v>
      </c>
      <c r="K62" s="35">
        <f t="shared" si="37"/>
        <v>0.14135240902622487</v>
      </c>
      <c r="L62" s="35">
        <f t="shared" si="37"/>
        <v>0.14135240902622487</v>
      </c>
      <c r="M62" s="35">
        <f t="shared" si="37"/>
        <v>0.14135240902622487</v>
      </c>
    </row>
    <row r="63" spans="1:20" ht="15" customHeight="1" x14ac:dyDescent="0.3">
      <c r="A63" s="37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spans="1:20" ht="15" customHeight="1" x14ac:dyDescent="0.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9" ht="15" customHeight="1" x14ac:dyDescent="0.3">
      <c r="A65" s="28" t="s">
        <v>42</v>
      </c>
    </row>
    <row r="66" spans="1:19" ht="15" customHeight="1" x14ac:dyDescent="0.3">
      <c r="A66" s="2" t="s">
        <v>1</v>
      </c>
      <c r="B66" s="14">
        <f t="shared" ref="B66:M66" si="38">SUM(B5*$Q5)+(B14*$R5)+(B13*$S5)</f>
        <v>44271</v>
      </c>
      <c r="C66" s="14">
        <f t="shared" si="38"/>
        <v>44271</v>
      </c>
      <c r="D66" s="14">
        <f t="shared" si="38"/>
        <v>44271</v>
      </c>
      <c r="E66" s="14">
        <f t="shared" si="38"/>
        <v>44271</v>
      </c>
      <c r="F66" s="14">
        <f t="shared" si="38"/>
        <v>44271</v>
      </c>
      <c r="G66" s="14">
        <f t="shared" si="38"/>
        <v>44271</v>
      </c>
      <c r="H66" s="14">
        <f t="shared" si="38"/>
        <v>44271</v>
      </c>
      <c r="I66" s="14">
        <f t="shared" si="38"/>
        <v>44271</v>
      </c>
      <c r="J66" s="14">
        <f t="shared" si="38"/>
        <v>44271</v>
      </c>
      <c r="K66" s="14">
        <f t="shared" si="38"/>
        <v>44271</v>
      </c>
      <c r="L66" s="14">
        <f t="shared" si="38"/>
        <v>44271</v>
      </c>
      <c r="M66" s="14">
        <f t="shared" si="38"/>
        <v>44271</v>
      </c>
      <c r="N66" s="32">
        <f>SUM(B66:M66)</f>
        <v>531252</v>
      </c>
    </row>
    <row r="67" spans="1:19" ht="15" customHeight="1" x14ac:dyDescent="0.3">
      <c r="A67" s="2" t="s">
        <v>2</v>
      </c>
      <c r="B67" s="14">
        <f t="shared" ref="B67:M67" si="39">SUM(B6*$Q6)+(B$13*$S6)+(B$14*$R6)</f>
        <v>66892.5</v>
      </c>
      <c r="C67" s="14">
        <f t="shared" si="39"/>
        <v>66892.5</v>
      </c>
      <c r="D67" s="14">
        <f t="shared" si="39"/>
        <v>66892.5</v>
      </c>
      <c r="E67" s="14">
        <f t="shared" si="39"/>
        <v>66892.5</v>
      </c>
      <c r="F67" s="14">
        <f t="shared" si="39"/>
        <v>66892.5</v>
      </c>
      <c r="G67" s="14">
        <f t="shared" si="39"/>
        <v>66892.5</v>
      </c>
      <c r="H67" s="14">
        <f t="shared" si="39"/>
        <v>66892.5</v>
      </c>
      <c r="I67" s="14">
        <f t="shared" si="39"/>
        <v>66892.5</v>
      </c>
      <c r="J67" s="14">
        <f t="shared" si="39"/>
        <v>66892.5</v>
      </c>
      <c r="K67" s="14">
        <f t="shared" si="39"/>
        <v>66892.5</v>
      </c>
      <c r="L67" s="14">
        <f t="shared" si="39"/>
        <v>66892.5</v>
      </c>
      <c r="M67" s="14">
        <f t="shared" si="39"/>
        <v>66892.5</v>
      </c>
      <c r="N67" s="32">
        <f>SUM(B67:M67)</f>
        <v>802710</v>
      </c>
    </row>
    <row r="68" spans="1:19" ht="15" customHeight="1" x14ac:dyDescent="0.3">
      <c r="A68" s="2" t="s">
        <v>4</v>
      </c>
      <c r="B68" s="14">
        <f t="shared" ref="B68:M68" si="40">SUM(B7*$Q7)+(B$13*$S7)+(B$14*$R7)</f>
        <v>29514</v>
      </c>
      <c r="C68" s="14">
        <f t="shared" si="40"/>
        <v>29514</v>
      </c>
      <c r="D68" s="14">
        <f t="shared" si="40"/>
        <v>29514</v>
      </c>
      <c r="E68" s="14">
        <f t="shared" si="40"/>
        <v>29514</v>
      </c>
      <c r="F68" s="14">
        <f t="shared" si="40"/>
        <v>29514</v>
      </c>
      <c r="G68" s="14">
        <f t="shared" si="40"/>
        <v>29514</v>
      </c>
      <c r="H68" s="14">
        <f t="shared" si="40"/>
        <v>29514</v>
      </c>
      <c r="I68" s="14">
        <f t="shared" si="40"/>
        <v>29514</v>
      </c>
      <c r="J68" s="14">
        <f t="shared" si="40"/>
        <v>29514</v>
      </c>
      <c r="K68" s="14">
        <f t="shared" si="40"/>
        <v>29514</v>
      </c>
      <c r="L68" s="14">
        <f t="shared" si="40"/>
        <v>29514</v>
      </c>
      <c r="M68" s="14">
        <f t="shared" si="40"/>
        <v>29514</v>
      </c>
      <c r="N68" s="32">
        <f>SUM(B68:M68)</f>
        <v>354168</v>
      </c>
    </row>
    <row r="69" spans="1:19" ht="15" customHeight="1" x14ac:dyDescent="0.3">
      <c r="A69" s="2" t="s">
        <v>3</v>
      </c>
      <c r="B69" s="14">
        <f t="shared" ref="B69:M69" si="41">SUM(B8*$Q8)+(B$13*$S8)+(B$14*$R8)</f>
        <v>220980</v>
      </c>
      <c r="C69" s="14">
        <f t="shared" si="41"/>
        <v>220980</v>
      </c>
      <c r="D69" s="14">
        <f t="shared" si="41"/>
        <v>220980</v>
      </c>
      <c r="E69" s="14">
        <f t="shared" si="41"/>
        <v>220980</v>
      </c>
      <c r="F69" s="14">
        <f t="shared" si="41"/>
        <v>220980</v>
      </c>
      <c r="G69" s="14">
        <f t="shared" si="41"/>
        <v>220980</v>
      </c>
      <c r="H69" s="14">
        <f t="shared" si="41"/>
        <v>220980</v>
      </c>
      <c r="I69" s="14">
        <f t="shared" si="41"/>
        <v>220980</v>
      </c>
      <c r="J69" s="14">
        <f t="shared" si="41"/>
        <v>220980</v>
      </c>
      <c r="K69" s="14">
        <f t="shared" si="41"/>
        <v>220980</v>
      </c>
      <c r="L69" s="14">
        <f t="shared" si="41"/>
        <v>220980</v>
      </c>
      <c r="M69" s="14">
        <f t="shared" si="41"/>
        <v>220980</v>
      </c>
      <c r="N69" s="32">
        <f>SUM(B69:M69)</f>
        <v>2651760</v>
      </c>
    </row>
    <row r="70" spans="1:19" ht="15" customHeight="1" x14ac:dyDescent="0.3">
      <c r="A70" s="2" t="s">
        <v>5</v>
      </c>
      <c r="B70" s="14">
        <f t="shared" ref="B70:M70" si="42">SUM(B9*$Q9)+(B$13*$S9)+(B$14*$R9)</f>
        <v>55530.000000000007</v>
      </c>
      <c r="C70" s="14">
        <f t="shared" si="42"/>
        <v>55530.000000000007</v>
      </c>
      <c r="D70" s="14">
        <f t="shared" si="42"/>
        <v>55530.000000000007</v>
      </c>
      <c r="E70" s="14">
        <f t="shared" si="42"/>
        <v>55530.000000000007</v>
      </c>
      <c r="F70" s="14">
        <f t="shared" si="42"/>
        <v>55530.000000000007</v>
      </c>
      <c r="G70" s="14">
        <f t="shared" si="42"/>
        <v>55530.000000000007</v>
      </c>
      <c r="H70" s="14">
        <f t="shared" si="42"/>
        <v>55530.000000000007</v>
      </c>
      <c r="I70" s="14">
        <f t="shared" si="42"/>
        <v>55530.000000000007</v>
      </c>
      <c r="J70" s="14">
        <f t="shared" si="42"/>
        <v>55530.000000000007</v>
      </c>
      <c r="K70" s="14">
        <f t="shared" si="42"/>
        <v>55530.000000000007</v>
      </c>
      <c r="L70" s="14">
        <f t="shared" si="42"/>
        <v>55530.000000000007</v>
      </c>
      <c r="M70" s="14">
        <f t="shared" si="42"/>
        <v>55530.000000000007</v>
      </c>
      <c r="N70" s="32">
        <f t="shared" ref="N70" si="43">SUM(B70:M70)</f>
        <v>666360.00000000012</v>
      </c>
    </row>
    <row r="71" spans="1:19" ht="15" customHeight="1" x14ac:dyDescent="0.3">
      <c r="A71" s="38" t="s">
        <v>43</v>
      </c>
      <c r="B71" s="14">
        <f t="shared" ref="B71:M71" si="44">SUM(B22:B24)</f>
        <v>53906.253750000003</v>
      </c>
      <c r="C71" s="14">
        <f t="shared" si="44"/>
        <v>46435.544999999998</v>
      </c>
      <c r="D71" s="14">
        <f t="shared" si="44"/>
        <v>46435.544999999998</v>
      </c>
      <c r="E71" s="14">
        <f t="shared" si="44"/>
        <v>46435.544999999998</v>
      </c>
      <c r="F71" s="14">
        <f t="shared" si="44"/>
        <v>46435.544999999998</v>
      </c>
      <c r="G71" s="14">
        <f t="shared" si="44"/>
        <v>46435.544999999998</v>
      </c>
      <c r="H71" s="14">
        <f t="shared" si="44"/>
        <v>46435.544999999998</v>
      </c>
      <c r="I71" s="14">
        <f t="shared" si="44"/>
        <v>46435.544999999998</v>
      </c>
      <c r="J71" s="14">
        <f t="shared" si="44"/>
        <v>46435.544999999998</v>
      </c>
      <c r="K71" s="14">
        <f t="shared" si="44"/>
        <v>46435.544999999998</v>
      </c>
      <c r="L71" s="14">
        <f t="shared" si="44"/>
        <v>46435.544999999998</v>
      </c>
      <c r="M71" s="14">
        <f t="shared" si="44"/>
        <v>46435.544999999998</v>
      </c>
      <c r="N71" s="32">
        <f>SUM(B71:M71)</f>
        <v>564697.24874999991</v>
      </c>
    </row>
    <row r="72" spans="1:19" ht="15" customHeight="1" x14ac:dyDescent="0.3">
      <c r="A72" s="6" t="s">
        <v>8</v>
      </c>
      <c r="B72" s="33">
        <f>SUM(B66:B71)</f>
        <v>471093.75375000003</v>
      </c>
      <c r="C72" s="33">
        <f t="shared" ref="C72:M72" si="45">SUM(C66:C71)</f>
        <v>463623.04499999998</v>
      </c>
      <c r="D72" s="33">
        <f t="shared" si="45"/>
        <v>463623.04499999998</v>
      </c>
      <c r="E72" s="33">
        <f t="shared" si="45"/>
        <v>463623.04499999998</v>
      </c>
      <c r="F72" s="33">
        <f t="shared" si="45"/>
        <v>463623.04499999998</v>
      </c>
      <c r="G72" s="33">
        <f t="shared" si="45"/>
        <v>463623.04499999998</v>
      </c>
      <c r="H72" s="33">
        <f t="shared" si="45"/>
        <v>463623.04499999998</v>
      </c>
      <c r="I72" s="33">
        <f t="shared" si="45"/>
        <v>463623.04499999998</v>
      </c>
      <c r="J72" s="33">
        <f t="shared" si="45"/>
        <v>463623.04499999998</v>
      </c>
      <c r="K72" s="33">
        <f t="shared" si="45"/>
        <v>463623.04499999998</v>
      </c>
      <c r="L72" s="33">
        <f t="shared" si="45"/>
        <v>463623.04499999998</v>
      </c>
      <c r="M72" s="33">
        <f t="shared" si="45"/>
        <v>463623.04499999998</v>
      </c>
      <c r="N72" s="32">
        <f>SUM(B72:M72)</f>
        <v>5570947.2487499993</v>
      </c>
      <c r="P72" s="47">
        <f>SUM(100%-O82)</f>
        <v>0.30196345381993861</v>
      </c>
      <c r="Q72" s="48" t="s">
        <v>45</v>
      </c>
    </row>
    <row r="73" spans="1:19" ht="15" customHeight="1" x14ac:dyDescent="0.3">
      <c r="P73" s="30">
        <f>SUM(N15)*P72</f>
        <v>10694579.251250003</v>
      </c>
      <c r="Q73" s="48" t="s">
        <v>46</v>
      </c>
    </row>
    <row r="74" spans="1:19" ht="15" customHeight="1" x14ac:dyDescent="0.3">
      <c r="Q74" s="36"/>
    </row>
    <row r="75" spans="1:19" ht="15" customHeight="1" x14ac:dyDescent="0.3">
      <c r="A75" s="10" t="s">
        <v>59</v>
      </c>
      <c r="O75" s="45" t="s">
        <v>44</v>
      </c>
      <c r="Q75" s="45" t="s">
        <v>58</v>
      </c>
      <c r="R75" s="45" t="s">
        <v>44</v>
      </c>
      <c r="S75" s="45" t="s">
        <v>55</v>
      </c>
    </row>
    <row r="76" spans="1:19" ht="15" customHeight="1" x14ac:dyDescent="0.3">
      <c r="A76" s="3" t="s">
        <v>71</v>
      </c>
      <c r="B76" s="29">
        <f>SUM(B18:B40)</f>
        <v>406526.25374999997</v>
      </c>
      <c r="C76" s="29">
        <f t="shared" ref="C76:M76" si="46">SUM(C18:C40)</f>
        <v>321560.04500000004</v>
      </c>
      <c r="D76" s="29">
        <f t="shared" si="46"/>
        <v>330240.04500000004</v>
      </c>
      <c r="E76" s="29">
        <f t="shared" si="46"/>
        <v>346440.04500000004</v>
      </c>
      <c r="F76" s="29">
        <f t="shared" si="46"/>
        <v>346440.04500000004</v>
      </c>
      <c r="G76" s="29">
        <f t="shared" si="46"/>
        <v>346440.04500000004</v>
      </c>
      <c r="H76" s="29">
        <f t="shared" si="46"/>
        <v>350630.04500000004</v>
      </c>
      <c r="I76" s="29">
        <f t="shared" si="46"/>
        <v>346440.04500000004</v>
      </c>
      <c r="J76" s="29">
        <f t="shared" si="46"/>
        <v>346440.04500000004</v>
      </c>
      <c r="K76" s="29">
        <f t="shared" si="46"/>
        <v>346440.04500000004</v>
      </c>
      <c r="L76" s="29">
        <f t="shared" si="46"/>
        <v>346440.04500000004</v>
      </c>
      <c r="M76" s="29">
        <f t="shared" si="46"/>
        <v>346440.04500000004</v>
      </c>
      <c r="N76" s="33">
        <f>SUM(B76:M76)</f>
        <v>4180476.7487499993</v>
      </c>
      <c r="O76" s="44">
        <f>SUM(N76)/N15</f>
        <v>0.11803654618006142</v>
      </c>
      <c r="Q76" s="60" t="s">
        <v>56</v>
      </c>
      <c r="R76" s="47">
        <f>SUM(P72)</f>
        <v>0.30196345381993861</v>
      </c>
      <c r="S76" s="30">
        <f>SUM(P73)*R76</f>
        <v>3229372.0878585037</v>
      </c>
    </row>
    <row r="77" spans="1:19" ht="15" customHeight="1" x14ac:dyDescent="0.3">
      <c r="A77" s="46" t="s">
        <v>60</v>
      </c>
      <c r="B77" s="29">
        <f t="shared" ref="B77:M77" si="47">SUM(B15)*25%</f>
        <v>737850</v>
      </c>
      <c r="C77" s="29">
        <f t="shared" si="47"/>
        <v>737850</v>
      </c>
      <c r="D77" s="29">
        <f t="shared" si="47"/>
        <v>737850</v>
      </c>
      <c r="E77" s="29">
        <f t="shared" si="47"/>
        <v>737850</v>
      </c>
      <c r="F77" s="29">
        <f t="shared" si="47"/>
        <v>737850</v>
      </c>
      <c r="G77" s="29">
        <f t="shared" si="47"/>
        <v>737850</v>
      </c>
      <c r="H77" s="29">
        <f t="shared" si="47"/>
        <v>737850</v>
      </c>
      <c r="I77" s="29">
        <f t="shared" si="47"/>
        <v>737850</v>
      </c>
      <c r="J77" s="29">
        <f t="shared" si="47"/>
        <v>737850</v>
      </c>
      <c r="K77" s="29">
        <f t="shared" si="47"/>
        <v>737850</v>
      </c>
      <c r="L77" s="29">
        <f t="shared" si="47"/>
        <v>737850</v>
      </c>
      <c r="M77" s="29">
        <f t="shared" si="47"/>
        <v>737850</v>
      </c>
      <c r="N77" s="33">
        <f t="shared" ref="N77:N81" si="48">SUM(B77:M77)</f>
        <v>8854200</v>
      </c>
      <c r="O77" s="44">
        <f>SUM(N77)/N15</f>
        <v>0.25</v>
      </c>
    </row>
    <row r="78" spans="1:19" ht="15" customHeight="1" x14ac:dyDescent="0.3">
      <c r="A78" s="3" t="s">
        <v>78</v>
      </c>
      <c r="B78" s="29">
        <f t="shared" ref="B78:M78" si="49">SUM(B15)*25%</f>
        <v>737850</v>
      </c>
      <c r="C78" s="29">
        <f t="shared" si="49"/>
        <v>737850</v>
      </c>
      <c r="D78" s="29">
        <f t="shared" si="49"/>
        <v>737850</v>
      </c>
      <c r="E78" s="29">
        <f t="shared" si="49"/>
        <v>737850</v>
      </c>
      <c r="F78" s="29">
        <f t="shared" si="49"/>
        <v>737850</v>
      </c>
      <c r="G78" s="29">
        <f t="shared" si="49"/>
        <v>737850</v>
      </c>
      <c r="H78" s="29">
        <f t="shared" si="49"/>
        <v>737850</v>
      </c>
      <c r="I78" s="29">
        <f t="shared" si="49"/>
        <v>737850</v>
      </c>
      <c r="J78" s="29">
        <f t="shared" si="49"/>
        <v>737850</v>
      </c>
      <c r="K78" s="29">
        <f t="shared" si="49"/>
        <v>737850</v>
      </c>
      <c r="L78" s="29">
        <f t="shared" si="49"/>
        <v>737850</v>
      </c>
      <c r="M78" s="29">
        <f t="shared" si="49"/>
        <v>737850</v>
      </c>
      <c r="N78" s="33">
        <f t="shared" si="48"/>
        <v>8854200</v>
      </c>
      <c r="O78" s="44">
        <f>SUM(N78)/N15</f>
        <v>0.25</v>
      </c>
      <c r="Q78" s="63" t="s">
        <v>57</v>
      </c>
      <c r="R78" s="64" t="s">
        <v>44</v>
      </c>
      <c r="S78" s="64" t="s">
        <v>55</v>
      </c>
    </row>
    <row r="79" spans="1:19" ht="15" customHeight="1" x14ac:dyDescent="0.3">
      <c r="A79" s="3" t="s">
        <v>49</v>
      </c>
      <c r="B79" s="29">
        <f t="shared" ref="B79:N79" si="50">SUM(B15)*5%</f>
        <v>147570</v>
      </c>
      <c r="C79" s="29">
        <f t="shared" si="50"/>
        <v>147570</v>
      </c>
      <c r="D79" s="29">
        <f t="shared" si="50"/>
        <v>147570</v>
      </c>
      <c r="E79" s="29">
        <f t="shared" si="50"/>
        <v>147570</v>
      </c>
      <c r="F79" s="29">
        <f t="shared" si="50"/>
        <v>147570</v>
      </c>
      <c r="G79" s="29">
        <f t="shared" si="50"/>
        <v>147570</v>
      </c>
      <c r="H79" s="29">
        <f t="shared" si="50"/>
        <v>147570</v>
      </c>
      <c r="I79" s="29">
        <f t="shared" si="50"/>
        <v>147570</v>
      </c>
      <c r="J79" s="29">
        <f t="shared" si="50"/>
        <v>147570</v>
      </c>
      <c r="K79" s="29">
        <f t="shared" si="50"/>
        <v>147570</v>
      </c>
      <c r="L79" s="29">
        <f t="shared" si="50"/>
        <v>147570</v>
      </c>
      <c r="M79" s="29">
        <f t="shared" si="50"/>
        <v>147570</v>
      </c>
      <c r="N79" s="33">
        <f t="shared" si="50"/>
        <v>1770840</v>
      </c>
      <c r="O79" s="44">
        <f>SUM(N79)/N15</f>
        <v>0.05</v>
      </c>
      <c r="Q79" s="60" t="s">
        <v>56</v>
      </c>
      <c r="R79" s="47">
        <f>100%-R76</f>
        <v>0.69803654618006139</v>
      </c>
      <c r="S79" s="30">
        <f>SUM(P73)*R79</f>
        <v>7465207.1633914988</v>
      </c>
    </row>
    <row r="80" spans="1:19" ht="15" customHeight="1" x14ac:dyDescent="0.3">
      <c r="A80" s="3" t="s">
        <v>73</v>
      </c>
      <c r="B80" s="29">
        <f t="shared" ref="B80:M80" si="51">SUM(B15)*2.25%</f>
        <v>66406.5</v>
      </c>
      <c r="C80" s="29">
        <f t="shared" si="51"/>
        <v>66406.5</v>
      </c>
      <c r="D80" s="29">
        <f t="shared" si="51"/>
        <v>66406.5</v>
      </c>
      <c r="E80" s="29">
        <f t="shared" si="51"/>
        <v>66406.5</v>
      </c>
      <c r="F80" s="29">
        <f t="shared" si="51"/>
        <v>66406.5</v>
      </c>
      <c r="G80" s="29">
        <f t="shared" si="51"/>
        <v>66406.5</v>
      </c>
      <c r="H80" s="29">
        <f t="shared" si="51"/>
        <v>66406.5</v>
      </c>
      <c r="I80" s="29">
        <f t="shared" si="51"/>
        <v>66406.5</v>
      </c>
      <c r="J80" s="29">
        <f t="shared" si="51"/>
        <v>66406.5</v>
      </c>
      <c r="K80" s="29">
        <f t="shared" si="51"/>
        <v>66406.5</v>
      </c>
      <c r="L80" s="29">
        <f t="shared" si="51"/>
        <v>66406.5</v>
      </c>
      <c r="M80" s="29">
        <f t="shared" si="51"/>
        <v>66406.5</v>
      </c>
      <c r="N80" s="43">
        <f t="shared" si="48"/>
        <v>796878</v>
      </c>
      <c r="O80" s="44">
        <f>SUM(N80)/N15</f>
        <v>2.2499999999999999E-2</v>
      </c>
    </row>
    <row r="81" spans="1:15" ht="15" customHeight="1" x14ac:dyDescent="0.3">
      <c r="A81" s="3" t="s">
        <v>70</v>
      </c>
      <c r="B81" s="29">
        <f t="shared" ref="B81:M81" si="52">SUM(B15)*0.0075</f>
        <v>22135.5</v>
      </c>
      <c r="C81" s="29">
        <f t="shared" si="52"/>
        <v>22135.5</v>
      </c>
      <c r="D81" s="29">
        <f t="shared" si="52"/>
        <v>22135.5</v>
      </c>
      <c r="E81" s="29">
        <f t="shared" si="52"/>
        <v>22135.5</v>
      </c>
      <c r="F81" s="29">
        <f t="shared" si="52"/>
        <v>22135.5</v>
      </c>
      <c r="G81" s="29">
        <f t="shared" si="52"/>
        <v>22135.5</v>
      </c>
      <c r="H81" s="29">
        <f t="shared" si="52"/>
        <v>22135.5</v>
      </c>
      <c r="I81" s="29">
        <f t="shared" si="52"/>
        <v>22135.5</v>
      </c>
      <c r="J81" s="29">
        <f t="shared" si="52"/>
        <v>22135.5</v>
      </c>
      <c r="K81" s="29">
        <f t="shared" si="52"/>
        <v>22135.5</v>
      </c>
      <c r="L81" s="29">
        <f t="shared" si="52"/>
        <v>22135.5</v>
      </c>
      <c r="M81" s="29">
        <f t="shared" si="52"/>
        <v>22135.5</v>
      </c>
      <c r="N81" s="33">
        <f t="shared" si="48"/>
        <v>265626</v>
      </c>
      <c r="O81" s="44">
        <f>SUM(N81)/N15</f>
        <v>7.4999999999999997E-3</v>
      </c>
    </row>
    <row r="82" spans="1:15" ht="15" customHeight="1" x14ac:dyDescent="0.3">
      <c r="A82" s="6" t="s">
        <v>8</v>
      </c>
      <c r="B82" s="33">
        <f>SUM(B76:B81)</f>
        <v>2118338.2537500001</v>
      </c>
      <c r="C82" s="33">
        <f t="shared" ref="C82:N82" si="53">SUM(C76:C81)</f>
        <v>2033372.0449999999</v>
      </c>
      <c r="D82" s="33">
        <f t="shared" si="53"/>
        <v>2042052.0449999999</v>
      </c>
      <c r="E82" s="33">
        <f t="shared" si="53"/>
        <v>2058252.0449999999</v>
      </c>
      <c r="F82" s="33">
        <f t="shared" si="53"/>
        <v>2058252.0449999999</v>
      </c>
      <c r="G82" s="33">
        <f t="shared" si="53"/>
        <v>2058252.0449999999</v>
      </c>
      <c r="H82" s="33">
        <f t="shared" si="53"/>
        <v>2062442.0449999999</v>
      </c>
      <c r="I82" s="33">
        <f t="shared" si="53"/>
        <v>2058252.0449999999</v>
      </c>
      <c r="J82" s="33">
        <f t="shared" si="53"/>
        <v>2058252.0449999999</v>
      </c>
      <c r="K82" s="33">
        <f t="shared" si="53"/>
        <v>2058252.0449999999</v>
      </c>
      <c r="L82" s="33">
        <f t="shared" si="53"/>
        <v>2058252.0449999999</v>
      </c>
      <c r="M82" s="33">
        <f t="shared" si="53"/>
        <v>2058252.0449999999</v>
      </c>
      <c r="N82" s="33">
        <f t="shared" si="53"/>
        <v>24722220.748750001</v>
      </c>
      <c r="O82" s="81">
        <f>SUM(O76:O81)</f>
        <v>0.69803654618006139</v>
      </c>
    </row>
    <row r="83" spans="1:15" ht="15" customHeight="1" x14ac:dyDescent="0.3"/>
    <row r="84" spans="1:15" ht="15" customHeight="1" x14ac:dyDescent="0.3"/>
    <row r="85" spans="1:15" ht="15" customHeight="1" x14ac:dyDescent="0.3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69"/>
    </row>
    <row r="86" spans="1:15" ht="15" customHeight="1" x14ac:dyDescent="0.3"/>
    <row r="87" spans="1:15" ht="15" customHeight="1" x14ac:dyDescent="0.3"/>
    <row r="88" spans="1:15" ht="15" customHeight="1" x14ac:dyDescent="0.3"/>
    <row r="89" spans="1:15" ht="15" customHeight="1" x14ac:dyDescent="0.3"/>
    <row r="90" spans="1:15" ht="15" customHeight="1" x14ac:dyDescent="0.3"/>
    <row r="91" spans="1:15" ht="15" customHeight="1" x14ac:dyDescent="0.3"/>
    <row r="92" spans="1:15" ht="15" customHeight="1" x14ac:dyDescent="0.3"/>
    <row r="93" spans="1:15" ht="15" customHeight="1" x14ac:dyDescent="0.3"/>
    <row r="94" spans="1:15" ht="15" customHeight="1" x14ac:dyDescent="0.3"/>
    <row r="95" spans="1:15" ht="15" customHeight="1" x14ac:dyDescent="0.3"/>
    <row r="96" spans="1:15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</sheetData>
  <mergeCells count="1">
    <mergeCell ref="B1:M1"/>
  </mergeCells>
  <pageMargins left="0.7" right="0.7" top="0.75" bottom="0.75" header="0.3" footer="0.3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 Sales YR 1</vt:lpstr>
      <vt:lpstr>FE Sales YR 2</vt:lpstr>
      <vt:lpstr>FE Sales YR 3</vt:lpstr>
      <vt:lpstr>FE Sales YR 4</vt:lpstr>
      <vt:lpstr>FE Sales YR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 Lickfelt</dc:creator>
  <cp:lastModifiedBy>Rob Belfield</cp:lastModifiedBy>
  <cp:lastPrinted>2021-12-03T16:41:37Z</cp:lastPrinted>
  <dcterms:created xsi:type="dcterms:W3CDTF">2021-10-27T03:04:31Z</dcterms:created>
  <dcterms:modified xsi:type="dcterms:W3CDTF">2022-07-06T16:48:19Z</dcterms:modified>
</cp:coreProperties>
</file>