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H&amp;C\Cell Connect\Financial Tools\"/>
    </mc:Choice>
  </mc:AlternateContent>
  <xr:revisionPtr revIDLastSave="0" documentId="8_{27FE9395-FC87-4DF8-AEE8-893261C44632}" xr6:coauthVersionLast="32" xr6:coauthVersionMax="32" xr10:uidLastSave="{00000000-0000-0000-0000-000000000000}"/>
  <bookViews>
    <workbookView xWindow="0" yWindow="0" windowWidth="19200" windowHeight="6950" xr2:uid="{E438288B-8C93-4763-A4FC-8E54A2DCDB9E}"/>
  </bookViews>
  <sheets>
    <sheet name="Sheet1" sheetId="1" r:id="rId1"/>
  </sheets>
  <definedNames>
    <definedName name="_xlnm.Print_Area" localSheetId="0">Sheet1!$A$1:$G$73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G54" i="1"/>
  <c r="C45" i="1" l="1"/>
  <c r="C47" i="1"/>
  <c r="C42" i="1"/>
  <c r="B69" i="1" l="1"/>
  <c r="B68" i="1"/>
  <c r="A68" i="1"/>
  <c r="A69" i="1" s="1"/>
  <c r="A67" i="1"/>
  <c r="B66" i="1"/>
  <c r="B67" i="1" s="1"/>
  <c r="A66" i="1"/>
  <c r="B62" i="1"/>
  <c r="B63" i="1" s="1"/>
  <c r="A62" i="1"/>
  <c r="A63" i="1" s="1"/>
  <c r="A61" i="1"/>
  <c r="B60" i="1"/>
  <c r="B61" i="1" s="1"/>
  <c r="A60" i="1"/>
  <c r="A59" i="1"/>
  <c r="B58" i="1"/>
  <c r="B59" i="1" s="1"/>
  <c r="A58" i="1"/>
  <c r="A55" i="1"/>
  <c r="D5" i="1" l="1"/>
  <c r="E5" i="1" s="1"/>
  <c r="D44" i="1"/>
  <c r="D42" i="1"/>
  <c r="E46" i="1"/>
  <c r="E43" i="1"/>
  <c r="E39" i="1"/>
  <c r="E37" i="1"/>
  <c r="E35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4" i="1"/>
  <c r="E12" i="1"/>
  <c r="E11" i="1"/>
  <c r="E6" i="1"/>
  <c r="E4" i="1"/>
  <c r="E2" i="1"/>
  <c r="E45" i="1"/>
  <c r="D17" i="1"/>
  <c r="E64" i="1"/>
  <c r="E65" i="1"/>
  <c r="E44" i="1"/>
  <c r="E68" i="1"/>
  <c r="D68" i="1" s="1"/>
  <c r="D43" i="1"/>
  <c r="E62" i="1" s="1"/>
  <c r="D62" i="1" s="1"/>
  <c r="C43" i="1"/>
  <c r="E63" i="1" s="1"/>
  <c r="E58" i="1"/>
  <c r="C17" i="1"/>
  <c r="C13" i="1"/>
  <c r="E13" i="1" s="1"/>
  <c r="E47" i="1"/>
  <c r="C27" i="1"/>
  <c r="E27" i="1" s="1"/>
  <c r="C38" i="1"/>
  <c r="E38" i="1" s="1"/>
  <c r="D7" i="1"/>
  <c r="E7" i="1" s="1"/>
  <c r="C10" i="1"/>
  <c r="E10" i="1" s="1"/>
  <c r="C9" i="1"/>
  <c r="E9" i="1" s="1"/>
  <c r="C8" i="1"/>
  <c r="C41" i="1"/>
  <c r="E61" i="1" s="1"/>
  <c r="D41" i="1"/>
  <c r="C16" i="1"/>
  <c r="E16" i="1" s="1"/>
  <c r="D16" i="1"/>
  <c r="D36" i="1"/>
  <c r="E66" i="1" s="1"/>
  <c r="C36" i="1"/>
  <c r="C40" i="1"/>
  <c r="E40" i="1" s="1"/>
  <c r="D40" i="1"/>
  <c r="N27" i="1"/>
  <c r="D15" i="1"/>
  <c r="C15" i="1"/>
  <c r="E15" i="1" s="1"/>
  <c r="P33" i="1"/>
  <c r="D64" i="1" l="1"/>
  <c r="C50" i="1"/>
  <c r="E36" i="1"/>
  <c r="E71" i="1"/>
  <c r="D70" i="1" s="1"/>
  <c r="E42" i="1"/>
  <c r="E56" i="1"/>
  <c r="D50" i="1"/>
  <c r="E54" i="1"/>
  <c r="E59" i="1"/>
  <c r="D58" i="1" s="1"/>
  <c r="E8" i="1"/>
  <c r="E55" i="1"/>
  <c r="E41" i="1"/>
  <c r="E60" i="1"/>
  <c r="D60" i="1" s="1"/>
  <c r="E57" i="1"/>
  <c r="E67" i="1"/>
  <c r="D66" i="1" s="1"/>
  <c r="A64" i="1" l="1"/>
  <c r="A65" i="1" s="1"/>
  <c r="B64" i="1"/>
  <c r="B65" i="1" s="1"/>
  <c r="D56" i="1"/>
  <c r="B70" i="1"/>
  <c r="B71" i="1" s="1"/>
  <c r="A70" i="1"/>
  <c r="A71" i="1" s="1"/>
  <c r="D54" i="1"/>
  <c r="E72" i="1"/>
  <c r="E17" i="1"/>
  <c r="B50" i="1"/>
  <c r="E50" i="1" s="1"/>
  <c r="B56" i="1" l="1"/>
  <c r="B57" i="1" s="1"/>
  <c r="A56" i="1"/>
  <c r="A57" i="1" s="1"/>
  <c r="A54" i="1"/>
  <c r="B54" i="1"/>
  <c r="B55" i="1" s="1"/>
  <c r="D72" i="1"/>
  <c r="C54" i="1" l="1"/>
  <c r="D74" i="1"/>
  <c r="D75" i="1" s="1"/>
  <c r="D76" i="1"/>
  <c r="B72" i="1"/>
  <c r="B73" i="1" s="1"/>
  <c r="A72" i="1"/>
  <c r="A73" i="1" s="1"/>
  <c r="C68" i="1"/>
  <c r="C64" i="1"/>
  <c r="C62" i="1"/>
  <c r="C70" i="1"/>
  <c r="C66" i="1"/>
  <c r="C56" i="1"/>
  <c r="C60" i="1"/>
  <c r="C58" i="1"/>
  <c r="C72" i="1" l="1"/>
</calcChain>
</file>

<file path=xl/sharedStrings.xml><?xml version="1.0" encoding="utf-8"?>
<sst xmlns="http://schemas.openxmlformats.org/spreadsheetml/2006/main" count="116" uniqueCount="93">
  <si>
    <t>1PH9579B – The Condo Shop</t>
  </si>
  <si>
    <t>o GC to include (2) material pickups and (1) material drop off</t>
  </si>
  <si>
    <t>o Please plan on performing pre and post fiber testing</t>
  </si>
  <si>
    <t>o Please plan on cleaning all SFP optical ports and all fiber connections</t>
  </si>
  <si>
    <t> GC to install PPC panel, Emerson, sub meter on wall as per cd’s</t>
  </si>
  <si>
    <t> GC will supply and install (2) dual 100 Watt lights on the penthouse roofs as discussed or in the attached</t>
  </si>
  <si>
    <t> GC will supply and install walking pads from the penthouse over to the TMO equipment room</t>
  </si>
  <si>
    <t> GC to install (1) BTS cabinet</t>
  </si>
  <si>
    <t>o GC will build out cabinet as per design spec sheet</t>
  </si>
  <si>
    <t>the BTS cabinet</t>
  </si>
  <si>
    <t>o Extend -48 DC feed from the BTS cabinet to the Emerson cabinet</t>
  </si>
  <si>
    <t>o Supply and install 6 strand single mode LC to LC fiber jumper</t>
  </si>
  <si>
    <t> GC to label equipment with site ID and carrier information</t>
  </si>
  <si>
    <t> GC to supply and install inner duct , conduit, etc w/ a pull string from our Emerson cabinet to the basement (following</t>
  </si>
  <si>
    <t>the existing patch of the grounding and existing fiber run)</t>
  </si>
  <si>
    <t>o GC to supply 1” conduit from APU to BTS w/ CAT 6 cable for alarm block</t>
  </si>
  <si>
    <t>o GC to supply 2” conduit from APU to BTS for power cables</t>
  </si>
  <si>
    <t>o GC to supply 3/4” conduit from APU to NG D-Mark</t>
  </si>
  <si>
    <t> GC will need to supply a sub meter</t>
  </si>
  <si>
    <t> GC to be onsite during integration, please plan on having 2 trips in your quote</t>
  </si>
  <si>
    <t xml:space="preserve">materials </t>
  </si>
  <si>
    <t>labor</t>
  </si>
  <si>
    <t>Please refer to 4-SEC – 67D97DB Design specification sheet</t>
  </si>
  <si>
    <t> (Structural 3 days, 8500 est on steel to site) GC to supply and install all steel dunnage for antenna mounting as per cd’s / SA</t>
  </si>
  <si>
    <t xml:space="preserve">civil </t>
  </si>
  <si>
    <t> 1440 per two man plus 20% m/u, est 250 for lighting and cercuitsGC will supply and install new cold start lighting in the room above our BTS cabinet</t>
  </si>
  <si>
    <t>RF</t>
  </si>
  <si>
    <t>o Electrcian - 150 miscenaious materials, install batt, delivered to site by Cci) Batteries, sub rack, SPDs, plates, radios, routers, etc Please make sure that everything is labeled inside of</t>
  </si>
  <si>
    <t> (APU rooftop scope / 9500) GC to install APU and perform startup</t>
  </si>
  <si>
    <t>RF included</t>
  </si>
  <si>
    <t> time and a half 3200*1.5= 4800 - GC will pick up materials at CTDI is Swedesboro</t>
  </si>
  <si>
    <t> Sitepro1 @ 139.49, 6% tax, 10% = shipping cost, per 8', 60 sections =GC labor 3 days four man crew @ 3200=9,600 - to supply and install covered cable tray on sleepers as needed for hybrid runs</t>
  </si>
  <si>
    <t>Walking Pads, 120 LF 55 each every 3LF,  (materials 30, labor 25=55*120/3/.6</t>
  </si>
  <si>
    <t xml:space="preserve">lighting and 1/2" RGS and 120LF 3way switch  $1,000 labor and materials </t>
  </si>
  <si>
    <t xml:space="preserve"> </t>
  </si>
  <si>
    <t> Gate $450, 2 corner post, midrail, top rail, fabric, grounding,600, labor 1 day  and  GC to supply and install fencing in the penthouse</t>
  </si>
  <si>
    <t>Elec Included</t>
  </si>
  <si>
    <t>Elec Included- see lighting -add on</t>
  </si>
  <si>
    <t xml:space="preserve">Elec Included </t>
  </si>
  <si>
    <t> $200 materials, 150 ports/.6 mu=583.33 , 2 men one dayGC to supply and install entry port for hybrid lines as per cd’s</t>
  </si>
  <si>
    <t xml:space="preserve">Structural </t>
  </si>
  <si>
    <t>Roofer</t>
  </si>
  <si>
    <t>Electrical Inc- OSHA - AOS</t>
  </si>
  <si>
    <t>Roofer, 1,250 pitch pockets, labor 1,200 with .6 mu $2,000</t>
  </si>
  <si>
    <t> Materials, Supports, each sector 235/.6=$391.67*4= GC to install (2) antennas, (1) 4449 radio unit, (10) fiber jumpers, (4) coax jumpers per sector</t>
  </si>
  <si>
    <t> Supports, grounding cable tray =60*8*2.5/.6= GC to install (4) hybrid cables</t>
  </si>
  <si>
    <t>o =4*2*18/0.6= $240.00, GC will need to supply and install power extenders and fibers as needed.</t>
  </si>
  <si>
    <t xml:space="preserve">RF (4 days hybrid, 4 days antennas/rru, 2 days cabinet= 10 days, plus 2 days intergration),  rooftop with four (4) man crew, structural excluded, excluded civil, electrical exculded, materials excluded </t>
  </si>
  <si>
    <t>Parking $763.20, =$60*12/0.6= $1,272.00 cost with /markup</t>
  </si>
  <si>
    <t> five (5) locks =5*15*1.06/0.6 GC to supply and install locks on TMO equipment</t>
  </si>
  <si>
    <t>Permits</t>
  </si>
  <si>
    <t>Philadelphia Labor Tax 7.5%</t>
  </si>
  <si>
    <t xml:space="preserve">Tax- City of Philadelphia </t>
  </si>
  <si>
    <t xml:space="preserve">Electrical Permits and Inspection </t>
  </si>
  <si>
    <t>Depoy / BOM included</t>
  </si>
  <si>
    <t> materials 500' #2 Green/#2 Tinned GC to supply and install all grounding and equipment as needed as per cd’s</t>
  </si>
  <si>
    <t xml:space="preserve">RF Labor </t>
  </si>
  <si>
    <t>RF Materials</t>
  </si>
  <si>
    <t>Structural Labor</t>
  </si>
  <si>
    <t xml:space="preserve">Electrical </t>
  </si>
  <si>
    <t xml:space="preserve">Electrical Materials </t>
  </si>
  <si>
    <t>Structural Materials</t>
  </si>
  <si>
    <t>Civil Labor</t>
  </si>
  <si>
    <t>Plumber</t>
  </si>
  <si>
    <t xml:space="preserve">Plumber Materials </t>
  </si>
  <si>
    <t>Plumber /License and Gas Meter</t>
  </si>
  <si>
    <t>Crane</t>
  </si>
  <si>
    <t xml:space="preserve">City of Phila Police Escort/Saturday </t>
  </si>
  <si>
    <t>Plumber Gas Meter</t>
  </si>
  <si>
    <t>Roofer Labor</t>
  </si>
  <si>
    <t xml:space="preserve">Roofer Materials </t>
  </si>
  <si>
    <t xml:space="preserve">Civil Materials </t>
  </si>
  <si>
    <t>City of Phila Tax</t>
  </si>
  <si>
    <t xml:space="preserve">Management Labor </t>
  </si>
  <si>
    <t xml:space="preserve">Management Materials </t>
  </si>
  <si>
    <t xml:space="preserve">COP , Travel </t>
  </si>
  <si>
    <t xml:space="preserve">Roofer (OSHA) </t>
  </si>
  <si>
    <t>RF SATURDAY Load</t>
  </si>
  <si>
    <t xml:space="preserve">Structural Included </t>
  </si>
  <si>
    <t>MGT Exp- Parking and Travel</t>
  </si>
  <si>
    <t>Crane Phila Street and Escort</t>
  </si>
  <si>
    <t xml:space="preserve">Turnover Documention </t>
  </si>
  <si>
    <t>Steel , Steel Dunnage and sector mounts, est 5,500/.6-  includes Hilti HY-70, delivery to site labor for install by Cci 3 days, 3200*3</t>
  </si>
  <si>
    <t>Closout Package - Level 3 $450/.6with two (2) permits= 175/.6</t>
  </si>
  <si>
    <t xml:space="preserve"> Roofer see OSHA - AOS</t>
  </si>
  <si>
    <t>crane 4500/.6 est)</t>
  </si>
  <si>
    <t>Est Gross</t>
  </si>
  <si>
    <t>Est COGS</t>
  </si>
  <si>
    <t>PLUS 2%</t>
  </si>
  <si>
    <t>PLUS 1%</t>
  </si>
  <si>
    <t>GC Permits, 450+300 Final Inspection Walk, Plumbing Permit and Inspecuton 450</t>
  </si>
  <si>
    <t xml:space="preserve">offset early pay discount? </t>
  </si>
  <si>
    <t>ebid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</si>
</sst>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2" fillId="0" borderId="0" xfId="1" applyFont="1"/>
    <xf numFmtId="0" fontId="2" fillId="0" borderId="0" xfId="0" applyFont="1"/>
    <xf numFmtId="44" fontId="2" fillId="4" borderId="0" xfId="1" applyFont="1" applyFill="1"/>
    <xf numFmtId="44" fontId="2" fillId="3" borderId="0" xfId="1" applyFont="1" applyFill="1"/>
    <xf numFmtId="44" fontId="2" fillId="2" borderId="0" xfId="1" applyFont="1" applyFill="1"/>
    <xf numFmtId="44" fontId="2" fillId="10" borderId="0" xfId="1" applyFont="1" applyFill="1"/>
    <xf numFmtId="44" fontId="2" fillId="5" borderId="0" xfId="1" applyFont="1" applyFill="1"/>
    <xf numFmtId="44" fontId="2" fillId="7" borderId="0" xfId="1" applyFont="1" applyFill="1"/>
    <xf numFmtId="44" fontId="2" fillId="6" borderId="0" xfId="1" applyFont="1" applyFill="1"/>
    <xf numFmtId="44" fontId="2" fillId="8" borderId="0" xfId="1" applyFont="1" applyFill="1"/>
    <xf numFmtId="44" fontId="2" fillId="9" borderId="0" xfId="1" applyFont="1" applyFill="1"/>
    <xf numFmtId="9" fontId="2" fillId="0" borderId="0" xfId="2" applyFont="1"/>
    <xf numFmtId="10" fontId="2" fillId="0" borderId="0" xfId="2" applyNumberFormat="1" applyFont="1"/>
    <xf numFmtId="10" fontId="2" fillId="0" borderId="1" xfId="2" applyNumberFormat="1" applyFont="1" applyBorder="1"/>
    <xf numFmtId="44" fontId="2" fillId="0" borderId="1" xfId="1" applyFont="1" applyBorder="1"/>
    <xf numFmtId="44" fontId="2" fillId="0" borderId="0" xfId="0" applyNumberFormat="1" applyFont="1"/>
    <xf numFmtId="44" fontId="2" fillId="0" borderId="1" xfId="0" applyNumberFormat="1" applyFont="1" applyBorder="1"/>
    <xf numFmtId="0" fontId="2" fillId="0" borderId="0" xfId="0" applyFont="1" applyAlignment="1">
      <alignment wrapText="1"/>
    </xf>
    <xf numFmtId="44" fontId="2" fillId="0" borderId="0" xfId="0" applyNumberFormat="1" applyFont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EFFF-9D49-4AB2-A57C-08A5C4CED510}">
  <sheetPr>
    <pageSetUpPr fitToPage="1"/>
  </sheetPr>
  <dimension ref="A1:P77"/>
  <sheetViews>
    <sheetView tabSelected="1" topLeftCell="A28" workbookViewId="0">
      <selection activeCell="B45" sqref="B45"/>
    </sheetView>
  </sheetViews>
  <sheetFormatPr defaultColWidth="8.81640625" defaultRowHeight="14" x14ac:dyDescent="0.3"/>
  <cols>
    <col min="1" max="1" width="11.90625" style="2" bestFit="1" customWidth="1"/>
    <col min="2" max="2" width="17" style="1" bestFit="1" customWidth="1"/>
    <col min="3" max="3" width="11.90625" style="1" bestFit="1" customWidth="1"/>
    <col min="4" max="5" width="13.08984375" style="1" bestFit="1" customWidth="1"/>
    <col min="6" max="6" width="35.90625" style="1" bestFit="1" customWidth="1"/>
    <col min="7" max="7" width="80.81640625" style="18" customWidth="1"/>
    <col min="8" max="13" width="8.81640625" style="2"/>
    <col min="14" max="14" width="8.54296875" style="2" bestFit="1" customWidth="1"/>
    <col min="15" max="15" width="8.81640625" style="2"/>
    <col min="16" max="16" width="13" style="2" bestFit="1" customWidth="1"/>
    <col min="17" max="16384" width="8.81640625" style="2"/>
  </cols>
  <sheetData>
    <row r="1" spans="2:7" x14ac:dyDescent="0.3">
      <c r="G1" s="18" t="s">
        <v>22</v>
      </c>
    </row>
    <row r="2" spans="2:7" x14ac:dyDescent="0.3">
      <c r="E2" s="1">
        <f>SUM(B2:D2)</f>
        <v>0</v>
      </c>
    </row>
    <row r="3" spans="2:7" x14ac:dyDescent="0.3">
      <c r="B3" s="1" t="s">
        <v>85</v>
      </c>
      <c r="C3" s="1" t="s">
        <v>20</v>
      </c>
      <c r="D3" s="1" t="s">
        <v>21</v>
      </c>
      <c r="G3" s="18" t="s">
        <v>0</v>
      </c>
    </row>
    <row r="4" spans="2:7" x14ac:dyDescent="0.3">
      <c r="B4" s="3">
        <f>(2900/0.6) + (2000/0.6)</f>
        <v>8166.6666666666679</v>
      </c>
      <c r="C4" s="3"/>
      <c r="D4" s="3"/>
      <c r="E4" s="1">
        <f t="shared" ref="E4:E47" si="0">SUM(B4:D4)</f>
        <v>8166.6666666666679</v>
      </c>
      <c r="F4" s="3" t="s">
        <v>80</v>
      </c>
    </row>
    <row r="5" spans="2:7" x14ac:dyDescent="0.3">
      <c r="C5" s="4"/>
      <c r="D5" s="4">
        <f>3200*1.5</f>
        <v>4800</v>
      </c>
      <c r="E5" s="1">
        <f t="shared" si="0"/>
        <v>4800</v>
      </c>
      <c r="F5" s="4" t="s">
        <v>77</v>
      </c>
      <c r="G5" s="18" t="s">
        <v>30</v>
      </c>
    </row>
    <row r="6" spans="2:7" x14ac:dyDescent="0.3">
      <c r="C6" s="4"/>
      <c r="D6" s="4">
        <v>1200</v>
      </c>
      <c r="E6" s="1">
        <f t="shared" si="0"/>
        <v>1200</v>
      </c>
      <c r="F6" s="4" t="s">
        <v>54</v>
      </c>
      <c r="G6" s="18" t="s">
        <v>1</v>
      </c>
    </row>
    <row r="7" spans="2:7" ht="42" x14ac:dyDescent="0.3">
      <c r="C7" s="4"/>
      <c r="D7" s="4">
        <f>3200*(10+2)</f>
        <v>38400</v>
      </c>
      <c r="E7" s="1">
        <f t="shared" si="0"/>
        <v>38400</v>
      </c>
      <c r="F7" s="4" t="s">
        <v>26</v>
      </c>
      <c r="G7" s="18" t="s">
        <v>47</v>
      </c>
    </row>
    <row r="8" spans="2:7" ht="28" x14ac:dyDescent="0.3">
      <c r="C8" s="4">
        <f>235/0.6*4</f>
        <v>1566.6666666666667</v>
      </c>
      <c r="D8" s="4"/>
      <c r="E8" s="1">
        <f t="shared" si="0"/>
        <v>1566.6666666666667</v>
      </c>
      <c r="F8" s="4" t="s">
        <v>29</v>
      </c>
      <c r="G8" s="18" t="s">
        <v>44</v>
      </c>
    </row>
    <row r="9" spans="2:7" x14ac:dyDescent="0.3">
      <c r="C9" s="4">
        <f>60*8*2.5/0.6</f>
        <v>2000</v>
      </c>
      <c r="D9" s="4"/>
      <c r="E9" s="1">
        <f t="shared" si="0"/>
        <v>2000</v>
      </c>
      <c r="F9" s="4" t="s">
        <v>29</v>
      </c>
      <c r="G9" s="18" t="s">
        <v>45</v>
      </c>
    </row>
    <row r="10" spans="2:7" ht="28" x14ac:dyDescent="0.3">
      <c r="C10" s="4">
        <f>4*2*18/0.6</f>
        <v>240</v>
      </c>
      <c r="D10" s="4"/>
      <c r="E10" s="1">
        <f t="shared" si="0"/>
        <v>240</v>
      </c>
      <c r="F10" s="4" t="s">
        <v>29</v>
      </c>
      <c r="G10" s="18" t="s">
        <v>46</v>
      </c>
    </row>
    <row r="11" spans="2:7" x14ac:dyDescent="0.3">
      <c r="C11" s="4"/>
      <c r="D11" s="4"/>
      <c r="E11" s="1">
        <f t="shared" si="0"/>
        <v>0</v>
      </c>
      <c r="F11" s="4" t="s">
        <v>29</v>
      </c>
      <c r="G11" s="18" t="s">
        <v>2</v>
      </c>
    </row>
    <row r="12" spans="2:7" x14ac:dyDescent="0.3">
      <c r="C12" s="4"/>
      <c r="D12" s="4"/>
      <c r="E12" s="1">
        <f t="shared" si="0"/>
        <v>0</v>
      </c>
      <c r="F12" s="4" t="s">
        <v>29</v>
      </c>
      <c r="G12" s="18" t="s">
        <v>3</v>
      </c>
    </row>
    <row r="13" spans="2:7" ht="28" x14ac:dyDescent="0.3">
      <c r="C13" s="4">
        <f>(555.88/0.6)+250</f>
        <v>1176.4666666666667</v>
      </c>
      <c r="D13" s="4"/>
      <c r="E13" s="1">
        <f t="shared" si="0"/>
        <v>1176.4666666666667</v>
      </c>
      <c r="F13" s="4" t="s">
        <v>29</v>
      </c>
      <c r="G13" s="18" t="s">
        <v>55</v>
      </c>
    </row>
    <row r="14" spans="2:7" ht="28" x14ac:dyDescent="0.3">
      <c r="C14" s="4">
        <v>0</v>
      </c>
      <c r="D14" s="4">
        <v>0</v>
      </c>
      <c r="E14" s="1">
        <f t="shared" si="0"/>
        <v>0</v>
      </c>
      <c r="F14" s="4" t="s">
        <v>78</v>
      </c>
      <c r="G14" s="18" t="s">
        <v>23</v>
      </c>
    </row>
    <row r="15" spans="2:7" ht="42" x14ac:dyDescent="0.3">
      <c r="C15" s="4">
        <f>60*139.49*1.06*1.1/0.6</f>
        <v>16264.534000000007</v>
      </c>
      <c r="D15" s="4">
        <f>3*3200</f>
        <v>9600</v>
      </c>
      <c r="E15" s="1">
        <f t="shared" si="0"/>
        <v>25864.534000000007</v>
      </c>
      <c r="F15" s="4" t="s">
        <v>29</v>
      </c>
      <c r="G15" s="18" t="s">
        <v>31</v>
      </c>
    </row>
    <row r="16" spans="2:7" ht="28" x14ac:dyDescent="0.3">
      <c r="C16" s="4">
        <f>350/0.6</f>
        <v>583.33333333333337</v>
      </c>
      <c r="D16" s="4">
        <f>3200/2</f>
        <v>1600</v>
      </c>
      <c r="E16" s="1">
        <f t="shared" si="0"/>
        <v>2183.3333333333335</v>
      </c>
      <c r="F16" s="4" t="s">
        <v>29</v>
      </c>
      <c r="G16" s="18" t="s">
        <v>39</v>
      </c>
    </row>
    <row r="17" spans="3:14" x14ac:dyDescent="0.3">
      <c r="C17" s="5">
        <f>34225/2/0.6</f>
        <v>28520.833333333336</v>
      </c>
      <c r="D17" s="5">
        <f>34225/2/0.6</f>
        <v>28520.833333333336</v>
      </c>
      <c r="E17" s="1">
        <f t="shared" si="0"/>
        <v>57041.666666666672</v>
      </c>
      <c r="F17" s="5" t="s">
        <v>36</v>
      </c>
      <c r="G17" s="18" t="s">
        <v>4</v>
      </c>
    </row>
    <row r="18" spans="3:14" ht="28" x14ac:dyDescent="0.3">
      <c r="C18" s="5"/>
      <c r="D18" s="5"/>
      <c r="E18" s="1">
        <f t="shared" si="0"/>
        <v>0</v>
      </c>
      <c r="F18" s="5" t="s">
        <v>37</v>
      </c>
      <c r="G18" s="18" t="s">
        <v>5</v>
      </c>
    </row>
    <row r="19" spans="3:14" ht="28" x14ac:dyDescent="0.3">
      <c r="C19" s="5" t="s">
        <v>34</v>
      </c>
      <c r="D19" s="5" t="s">
        <v>34</v>
      </c>
      <c r="E19" s="1">
        <f t="shared" si="0"/>
        <v>0</v>
      </c>
      <c r="F19" s="5" t="s">
        <v>36</v>
      </c>
      <c r="G19" s="18" t="s">
        <v>25</v>
      </c>
    </row>
    <row r="20" spans="3:14" ht="28" x14ac:dyDescent="0.3">
      <c r="E20" s="1">
        <f t="shared" si="0"/>
        <v>0</v>
      </c>
      <c r="F20" s="1" t="s">
        <v>84</v>
      </c>
      <c r="G20" s="18" t="s">
        <v>6</v>
      </c>
    </row>
    <row r="21" spans="3:14" x14ac:dyDescent="0.3">
      <c r="C21" s="4"/>
      <c r="D21" s="4"/>
      <c r="E21" s="1">
        <f t="shared" si="0"/>
        <v>0</v>
      </c>
      <c r="F21" s="4" t="s">
        <v>29</v>
      </c>
      <c r="G21" s="18" t="s">
        <v>7</v>
      </c>
    </row>
    <row r="22" spans="3:14" x14ac:dyDescent="0.3">
      <c r="C22" s="4"/>
      <c r="D22" s="4"/>
      <c r="E22" s="1">
        <f t="shared" si="0"/>
        <v>0</v>
      </c>
      <c r="F22" s="4" t="s">
        <v>29</v>
      </c>
      <c r="G22" s="18" t="s">
        <v>8</v>
      </c>
    </row>
    <row r="23" spans="3:14" ht="42" x14ac:dyDescent="0.3">
      <c r="C23" s="4">
        <v>150</v>
      </c>
      <c r="D23" s="4"/>
      <c r="E23" s="1">
        <f t="shared" si="0"/>
        <v>150</v>
      </c>
      <c r="F23" s="4" t="s">
        <v>29</v>
      </c>
      <c r="G23" s="18" t="s">
        <v>27</v>
      </c>
    </row>
    <row r="24" spans="3:14" x14ac:dyDescent="0.3">
      <c r="E24" s="1">
        <f t="shared" si="0"/>
        <v>0</v>
      </c>
      <c r="G24" s="18" t="s">
        <v>9</v>
      </c>
    </row>
    <row r="25" spans="3:14" x14ac:dyDescent="0.3">
      <c r="C25" s="5">
        <v>0</v>
      </c>
      <c r="D25" s="5"/>
      <c r="E25" s="1">
        <f t="shared" si="0"/>
        <v>0</v>
      </c>
      <c r="F25" s="5" t="s">
        <v>36</v>
      </c>
      <c r="G25" s="18" t="s">
        <v>10</v>
      </c>
    </row>
    <row r="26" spans="3:14" x14ac:dyDescent="0.3">
      <c r="C26" s="5">
        <v>0</v>
      </c>
      <c r="D26" s="5"/>
      <c r="E26" s="1">
        <f t="shared" si="0"/>
        <v>0</v>
      </c>
      <c r="F26" s="5" t="s">
        <v>38</v>
      </c>
      <c r="G26" s="18" t="s">
        <v>11</v>
      </c>
    </row>
    <row r="27" spans="3:14" x14ac:dyDescent="0.3">
      <c r="C27" s="4">
        <f>5*15*1.06/0.6</f>
        <v>132.5</v>
      </c>
      <c r="D27" s="4"/>
      <c r="E27" s="1">
        <f t="shared" si="0"/>
        <v>132.5</v>
      </c>
      <c r="F27" s="4" t="s">
        <v>29</v>
      </c>
      <c r="G27" s="18" t="s">
        <v>49</v>
      </c>
      <c r="N27" s="2">
        <f>139.5*1.06*1.1</f>
        <v>162.65700000000001</v>
      </c>
    </row>
    <row r="28" spans="3:14" x14ac:dyDescent="0.3">
      <c r="C28" s="4"/>
      <c r="D28" s="4"/>
      <c r="E28" s="1">
        <f t="shared" si="0"/>
        <v>0</v>
      </c>
      <c r="F28" s="4" t="s">
        <v>29</v>
      </c>
      <c r="G28" s="18" t="s">
        <v>12</v>
      </c>
    </row>
    <row r="29" spans="3:14" ht="28" x14ac:dyDescent="0.3">
      <c r="C29" s="5"/>
      <c r="D29" s="5"/>
      <c r="E29" s="1">
        <f t="shared" si="0"/>
        <v>0</v>
      </c>
      <c r="F29" s="5" t="s">
        <v>36</v>
      </c>
      <c r="G29" s="18" t="s">
        <v>13</v>
      </c>
    </row>
    <row r="30" spans="3:14" x14ac:dyDescent="0.3">
      <c r="C30" s="5"/>
      <c r="D30" s="5"/>
      <c r="E30" s="1">
        <f t="shared" si="0"/>
        <v>0</v>
      </c>
      <c r="F30" s="5"/>
      <c r="G30" s="18" t="s">
        <v>14</v>
      </c>
    </row>
    <row r="31" spans="3:14" x14ac:dyDescent="0.3">
      <c r="C31" s="5">
        <v>0</v>
      </c>
      <c r="D31" s="5">
        <v>0</v>
      </c>
      <c r="E31" s="1">
        <f t="shared" si="0"/>
        <v>0</v>
      </c>
      <c r="F31" s="5" t="s">
        <v>36</v>
      </c>
      <c r="G31" s="18" t="s">
        <v>28</v>
      </c>
    </row>
    <row r="32" spans="3:14" x14ac:dyDescent="0.3">
      <c r="C32" s="5"/>
      <c r="D32" s="5"/>
      <c r="E32" s="1">
        <f t="shared" si="0"/>
        <v>0</v>
      </c>
      <c r="F32" s="5"/>
      <c r="G32" s="18" t="s">
        <v>15</v>
      </c>
    </row>
    <row r="33" spans="3:16" x14ac:dyDescent="0.3">
      <c r="C33" s="5"/>
      <c r="D33" s="5"/>
      <c r="E33" s="1">
        <f t="shared" si="0"/>
        <v>0</v>
      </c>
      <c r="F33" s="5"/>
      <c r="G33" s="18" t="s">
        <v>16</v>
      </c>
      <c r="P33" s="2">
        <f>38/3</f>
        <v>12.666666666666666</v>
      </c>
    </row>
    <row r="34" spans="3:16" x14ac:dyDescent="0.3">
      <c r="C34" s="5"/>
      <c r="D34" s="5"/>
      <c r="E34" s="1">
        <f t="shared" si="0"/>
        <v>0</v>
      </c>
      <c r="F34" s="5"/>
      <c r="G34" s="18" t="s">
        <v>17</v>
      </c>
    </row>
    <row r="35" spans="3:16" x14ac:dyDescent="0.3">
      <c r="C35" s="5" t="s">
        <v>34</v>
      </c>
      <c r="D35" s="5"/>
      <c r="E35" s="1">
        <f t="shared" si="0"/>
        <v>0</v>
      </c>
      <c r="F35" s="5" t="s">
        <v>36</v>
      </c>
      <c r="G35" s="18" t="s">
        <v>18</v>
      </c>
    </row>
    <row r="36" spans="3:16" ht="28" x14ac:dyDescent="0.3">
      <c r="C36" s="6">
        <f>450+600</f>
        <v>1050</v>
      </c>
      <c r="D36" s="6">
        <f>3200/2</f>
        <v>1600</v>
      </c>
      <c r="E36" s="1">
        <f t="shared" si="0"/>
        <v>2650</v>
      </c>
      <c r="F36" s="6" t="s">
        <v>24</v>
      </c>
      <c r="G36" s="18" t="s">
        <v>35</v>
      </c>
    </row>
    <row r="37" spans="3:16" x14ac:dyDescent="0.3">
      <c r="C37" s="4"/>
      <c r="D37" s="4"/>
      <c r="E37" s="1">
        <f t="shared" si="0"/>
        <v>0</v>
      </c>
      <c r="F37" s="4" t="s">
        <v>29</v>
      </c>
      <c r="G37" s="18" t="s">
        <v>19</v>
      </c>
    </row>
    <row r="38" spans="3:16" x14ac:dyDescent="0.3">
      <c r="C38" s="7">
        <f>12*60*1.06/0.6</f>
        <v>1272.0000000000002</v>
      </c>
      <c r="D38" s="7"/>
      <c r="E38" s="1">
        <f t="shared" si="0"/>
        <v>1272.0000000000002</v>
      </c>
      <c r="F38" s="7" t="s">
        <v>79</v>
      </c>
      <c r="G38" s="18" t="s">
        <v>48</v>
      </c>
    </row>
    <row r="39" spans="3:16" x14ac:dyDescent="0.3">
      <c r="C39" s="5"/>
      <c r="D39" s="5"/>
      <c r="E39" s="1">
        <f t="shared" si="0"/>
        <v>0</v>
      </c>
      <c r="F39" s="5" t="s">
        <v>42</v>
      </c>
      <c r="G39" s="18" t="s">
        <v>33</v>
      </c>
    </row>
    <row r="40" spans="3:16" x14ac:dyDescent="0.3">
      <c r="C40" s="8">
        <f>30*1.06*120/3/0.6</f>
        <v>2120</v>
      </c>
      <c r="D40" s="8">
        <f>25*1.06*120/3/0.6</f>
        <v>1766.6666666666667</v>
      </c>
      <c r="E40" s="1">
        <f t="shared" si="0"/>
        <v>3886.666666666667</v>
      </c>
      <c r="F40" s="8" t="s">
        <v>76</v>
      </c>
      <c r="G40" s="18" t="s">
        <v>32</v>
      </c>
    </row>
    <row r="41" spans="3:16" x14ac:dyDescent="0.3">
      <c r="C41" s="8">
        <f>750/0.6</f>
        <v>1250</v>
      </c>
      <c r="D41" s="8">
        <f>1200/0.6</f>
        <v>2000</v>
      </c>
      <c r="E41" s="1">
        <f t="shared" si="0"/>
        <v>3250</v>
      </c>
      <c r="F41" s="8" t="s">
        <v>41</v>
      </c>
      <c r="G41" s="18" t="s">
        <v>43</v>
      </c>
    </row>
    <row r="42" spans="3:16" ht="28" x14ac:dyDescent="0.3">
      <c r="C42" s="9">
        <f>5000/0.6</f>
        <v>8333.3333333333339</v>
      </c>
      <c r="D42" s="9">
        <f>3*3200</f>
        <v>9600</v>
      </c>
      <c r="E42" s="1">
        <f t="shared" si="0"/>
        <v>17933.333333333336</v>
      </c>
      <c r="F42" s="9" t="s">
        <v>40</v>
      </c>
      <c r="G42" s="18" t="s">
        <v>82</v>
      </c>
    </row>
    <row r="43" spans="3:16" x14ac:dyDescent="0.3">
      <c r="C43" s="10">
        <f>2000/0.6</f>
        <v>3333.3333333333335</v>
      </c>
      <c r="D43" s="10">
        <f>1900/0.6</f>
        <v>3166.666666666667</v>
      </c>
      <c r="E43" s="1">
        <f t="shared" si="0"/>
        <v>6500</v>
      </c>
      <c r="F43" s="10" t="s">
        <v>68</v>
      </c>
      <c r="G43" s="18" t="s">
        <v>65</v>
      </c>
    </row>
    <row r="44" spans="3:16" x14ac:dyDescent="0.3">
      <c r="C44" s="11"/>
      <c r="D44" s="11">
        <f>50000*0.045</f>
        <v>2250</v>
      </c>
      <c r="E44" s="1">
        <f t="shared" si="0"/>
        <v>2250</v>
      </c>
      <c r="F44" s="11" t="s">
        <v>52</v>
      </c>
      <c r="G44" s="18" t="s">
        <v>51</v>
      </c>
    </row>
    <row r="45" spans="3:16" x14ac:dyDescent="0.3">
      <c r="C45" s="7">
        <f>750+475</f>
        <v>1225</v>
      </c>
      <c r="D45" s="7">
        <v>0</v>
      </c>
      <c r="E45" s="1">
        <f t="shared" si="0"/>
        <v>1225</v>
      </c>
      <c r="F45" s="7" t="s">
        <v>50</v>
      </c>
      <c r="G45" s="18" t="s">
        <v>90</v>
      </c>
    </row>
    <row r="46" spans="3:16" x14ac:dyDescent="0.3">
      <c r="C46" s="5" t="s">
        <v>34</v>
      </c>
      <c r="D46" s="5"/>
      <c r="E46" s="1">
        <f t="shared" si="0"/>
        <v>0</v>
      </c>
      <c r="F46" s="5" t="s">
        <v>36</v>
      </c>
      <c r="G46" s="18" t="s">
        <v>53</v>
      </c>
    </row>
    <row r="47" spans="3:16" x14ac:dyDescent="0.3">
      <c r="C47" s="7">
        <f>((450+175)/0.6)+19.5</f>
        <v>1061.1666666666667</v>
      </c>
      <c r="D47" s="7"/>
      <c r="E47" s="1">
        <f t="shared" si="0"/>
        <v>1061.1666666666667</v>
      </c>
      <c r="F47" s="7" t="s">
        <v>81</v>
      </c>
      <c r="G47" s="18" t="s">
        <v>83</v>
      </c>
    </row>
    <row r="50" spans="1:7" x14ac:dyDescent="0.3">
      <c r="B50" s="1">
        <f>SUM(B4:B49)</f>
        <v>8166.6666666666679</v>
      </c>
      <c r="C50" s="1">
        <f>SUM(C4:C49)</f>
        <v>70279.167333333346</v>
      </c>
      <c r="D50" s="1">
        <f>SUM(D4:D49)</f>
        <v>104504.16666666669</v>
      </c>
      <c r="E50" s="1">
        <f>SUM(B50:D50)</f>
        <v>182950.00066666672</v>
      </c>
    </row>
    <row r="51" spans="1:7" x14ac:dyDescent="0.3">
      <c r="C51" s="1" t="s">
        <v>34</v>
      </c>
    </row>
    <row r="53" spans="1:7" x14ac:dyDescent="0.3">
      <c r="A53" s="2" t="s">
        <v>86</v>
      </c>
      <c r="B53" s="1" t="s">
        <v>87</v>
      </c>
    </row>
    <row r="54" spans="1:7" ht="14.5" thickBot="1" x14ac:dyDescent="0.35">
      <c r="A54" s="16">
        <f>0.4*D54</f>
        <v>31085.400266666671</v>
      </c>
      <c r="B54" s="1">
        <f>0.6*D54</f>
        <v>46628.100400000003</v>
      </c>
      <c r="C54" s="13">
        <f>D54/D72</f>
        <v>0.42477999663011767</v>
      </c>
      <c r="D54" s="15">
        <f>SUM(E54:E55)</f>
        <v>77713.500666666674</v>
      </c>
      <c r="E54" s="4">
        <f>SUM(D5:D16)</f>
        <v>55600</v>
      </c>
      <c r="F54" s="4" t="s">
        <v>56</v>
      </c>
      <c r="G54" s="19">
        <f>E54</f>
        <v>55600</v>
      </c>
    </row>
    <row r="55" spans="1:7" ht="14.5" thickTop="1" x14ac:dyDescent="0.3">
      <c r="A55" s="12">
        <f>A54/D54</f>
        <v>0.4</v>
      </c>
      <c r="B55" s="12">
        <f>B54/D54</f>
        <v>0.6</v>
      </c>
      <c r="C55" s="13"/>
      <c r="E55" s="4">
        <f>SUM(C5:C16)+C23+C27</f>
        <v>22113.50066666667</v>
      </c>
      <c r="F55" s="4" t="s">
        <v>57</v>
      </c>
    </row>
    <row r="56" spans="1:7" ht="14.5" thickBot="1" x14ac:dyDescent="0.35">
      <c r="A56" s="16">
        <f>0.4*D56</f>
        <v>7173.3333333333348</v>
      </c>
      <c r="B56" s="1">
        <f>0.6*D56</f>
        <v>10760.000000000002</v>
      </c>
      <c r="C56" s="13">
        <f>D56/D72</f>
        <v>9.8023138934050721E-2</v>
      </c>
      <c r="D56" s="15">
        <f>SUM(E56:E57)</f>
        <v>17933.333333333336</v>
      </c>
      <c r="E56" s="9">
        <f>D42</f>
        <v>9600</v>
      </c>
      <c r="F56" s="9" t="s">
        <v>58</v>
      </c>
    </row>
    <row r="57" spans="1:7" ht="14.5" thickTop="1" x14ac:dyDescent="0.3">
      <c r="A57" s="12">
        <f>A56/D56</f>
        <v>0.4</v>
      </c>
      <c r="B57" s="12">
        <f>B56/D56</f>
        <v>0.6</v>
      </c>
      <c r="C57" s="13"/>
      <c r="E57" s="9">
        <f>C42</f>
        <v>8333.3333333333339</v>
      </c>
      <c r="F57" s="9" t="s">
        <v>61</v>
      </c>
    </row>
    <row r="58" spans="1:7" ht="14.5" thickBot="1" x14ac:dyDescent="0.35">
      <c r="A58" s="16">
        <f>0.4*D58</f>
        <v>22816.666666666672</v>
      </c>
      <c r="B58" s="1">
        <f>0.6*D58</f>
        <v>34225</v>
      </c>
      <c r="C58" s="13">
        <f>D58/D72</f>
        <v>0.31178828345891135</v>
      </c>
      <c r="D58" s="15">
        <f>SUM(E58:E59)</f>
        <v>57041.666666666672</v>
      </c>
      <c r="E58" s="5">
        <f>D17</f>
        <v>28520.833333333336</v>
      </c>
      <c r="F58" s="5" t="s">
        <v>59</v>
      </c>
    </row>
    <row r="59" spans="1:7" ht="14.5" thickTop="1" x14ac:dyDescent="0.3">
      <c r="A59" s="12">
        <f>A58/D58</f>
        <v>0.40000000000000008</v>
      </c>
      <c r="B59" s="12">
        <f>B58/D58</f>
        <v>0.6</v>
      </c>
      <c r="C59" s="13"/>
      <c r="E59" s="5">
        <f>C17</f>
        <v>28520.833333333336</v>
      </c>
      <c r="F59" s="5" t="s">
        <v>60</v>
      </c>
    </row>
    <row r="60" spans="1:7" ht="14.5" thickBot="1" x14ac:dyDescent="0.35">
      <c r="A60" s="16">
        <f>0.4*D60</f>
        <v>2854.666666666667</v>
      </c>
      <c r="B60" s="1">
        <f>0.6*D60</f>
        <v>4282</v>
      </c>
      <c r="C60" s="13">
        <f>D60/D72</f>
        <v>3.9008836516320179E-2</v>
      </c>
      <c r="D60" s="15">
        <f>SUM(E60:E61)</f>
        <v>7136.666666666667</v>
      </c>
      <c r="E60" s="8">
        <f>D41+D40</f>
        <v>3766.666666666667</v>
      </c>
      <c r="F60" s="8" t="s">
        <v>69</v>
      </c>
    </row>
    <row r="61" spans="1:7" ht="14.5" thickTop="1" x14ac:dyDescent="0.3">
      <c r="A61" s="12">
        <f>A60/D60</f>
        <v>0.4</v>
      </c>
      <c r="B61" s="12">
        <f>B60/D60</f>
        <v>0.6</v>
      </c>
      <c r="C61" s="13"/>
      <c r="E61" s="8">
        <f>C41+C40</f>
        <v>3370</v>
      </c>
      <c r="F61" s="8" t="s">
        <v>70</v>
      </c>
    </row>
    <row r="62" spans="1:7" ht="14.5" thickBot="1" x14ac:dyDescent="0.35">
      <c r="A62" s="16">
        <f>0.4*D62</f>
        <v>2600</v>
      </c>
      <c r="B62" s="1">
        <f>0.6*D62</f>
        <v>3900</v>
      </c>
      <c r="C62" s="13">
        <f>D62/D72</f>
        <v>3.5528832885018381E-2</v>
      </c>
      <c r="D62" s="15">
        <f>SUM(E62:E63)</f>
        <v>6500</v>
      </c>
      <c r="E62" s="10">
        <f>D43</f>
        <v>3166.666666666667</v>
      </c>
      <c r="F62" s="10" t="s">
        <v>63</v>
      </c>
    </row>
    <row r="63" spans="1:7" ht="14.5" thickTop="1" x14ac:dyDescent="0.3">
      <c r="A63" s="12">
        <f>A62/D62</f>
        <v>0.4</v>
      </c>
      <c r="B63" s="12">
        <f>B62/D62</f>
        <v>0.6</v>
      </c>
      <c r="C63" s="13"/>
      <c r="E63" s="10">
        <f>C43</f>
        <v>3333.3333333333335</v>
      </c>
      <c r="F63" s="10" t="s">
        <v>64</v>
      </c>
    </row>
    <row r="64" spans="1:7" ht="14.5" thickBot="1" x14ac:dyDescent="0.35">
      <c r="A64" s="16">
        <f>0.4*D64</f>
        <v>3266.6666666666674</v>
      </c>
      <c r="B64" s="1">
        <f>0.6*D64</f>
        <v>4900.0000000000009</v>
      </c>
      <c r="C64" s="13">
        <f>D64/D72</f>
        <v>4.46387900350231E-2</v>
      </c>
      <c r="D64" s="15">
        <f>SUM(E64:E65)</f>
        <v>8166.6666666666679</v>
      </c>
      <c r="E64" s="3">
        <f>B4</f>
        <v>8166.6666666666679</v>
      </c>
      <c r="F64" s="3" t="s">
        <v>66</v>
      </c>
    </row>
    <row r="65" spans="1:7" ht="14.5" thickTop="1" x14ac:dyDescent="0.3">
      <c r="A65" s="12">
        <f>A64/D64</f>
        <v>0.4</v>
      </c>
      <c r="B65" s="12">
        <f>B64/D64</f>
        <v>0.6</v>
      </c>
      <c r="C65" s="13"/>
      <c r="E65" s="3">
        <f>C4</f>
        <v>0</v>
      </c>
      <c r="F65" s="3" t="s">
        <v>67</v>
      </c>
    </row>
    <row r="66" spans="1:7" ht="14.5" thickBot="1" x14ac:dyDescent="0.35">
      <c r="A66" s="16">
        <f>0.4*D66</f>
        <v>1060</v>
      </c>
      <c r="B66" s="1">
        <f>0.6*D66</f>
        <v>1590</v>
      </c>
      <c r="C66" s="13">
        <f>D66/D72</f>
        <v>1.4484831868507493E-2</v>
      </c>
      <c r="D66" s="15">
        <f>SUM(E66:E67)</f>
        <v>2650</v>
      </c>
      <c r="E66" s="6">
        <f>D36</f>
        <v>1600</v>
      </c>
      <c r="F66" s="6" t="s">
        <v>62</v>
      </c>
    </row>
    <row r="67" spans="1:7" ht="14.5" thickTop="1" x14ac:dyDescent="0.3">
      <c r="A67" s="12">
        <f>A66/D66</f>
        <v>0.4</v>
      </c>
      <c r="B67" s="12">
        <f>B66/D66</f>
        <v>0.6</v>
      </c>
      <c r="C67" s="13"/>
      <c r="E67" s="6">
        <f>C36</f>
        <v>1050</v>
      </c>
      <c r="F67" s="6" t="s">
        <v>71</v>
      </c>
    </row>
    <row r="68" spans="1:7" ht="14.5" thickBot="1" x14ac:dyDescent="0.35">
      <c r="A68" s="16">
        <f>0.4*D68</f>
        <v>900</v>
      </c>
      <c r="B68" s="1">
        <f>0.6*D68</f>
        <v>1350</v>
      </c>
      <c r="C68" s="13">
        <f>D68/D72</f>
        <v>1.2298442152506363E-2</v>
      </c>
      <c r="D68" s="15">
        <f>SUM(E68:E70)</f>
        <v>2250</v>
      </c>
      <c r="E68" s="11">
        <f>D44</f>
        <v>2250</v>
      </c>
      <c r="F68" s="11" t="s">
        <v>72</v>
      </c>
    </row>
    <row r="69" spans="1:7" ht="15" thickTop="1" thickBot="1" x14ac:dyDescent="0.35">
      <c r="A69" s="12">
        <f>A68/D68</f>
        <v>0.4</v>
      </c>
      <c r="B69" s="12">
        <f>B68/D68</f>
        <v>0.6</v>
      </c>
      <c r="C69" s="13"/>
      <c r="D69" s="15"/>
      <c r="E69" s="11">
        <v>0</v>
      </c>
      <c r="F69" s="11"/>
    </row>
    <row r="70" spans="1:7" ht="15" thickTop="1" thickBot="1" x14ac:dyDescent="0.35">
      <c r="A70" s="16">
        <f>0.4*D70</f>
        <v>1423.2666666666669</v>
      </c>
      <c r="B70" s="1">
        <f>0.6*D70</f>
        <v>2134.9</v>
      </c>
      <c r="C70" s="13">
        <f>D70/D72</f>
        <v>1.9448847519545065E-2</v>
      </c>
      <c r="D70" s="15">
        <f>SUM(E70:E71)</f>
        <v>3558.166666666667</v>
      </c>
      <c r="E70" s="7"/>
      <c r="F70" s="7" t="s">
        <v>73</v>
      </c>
    </row>
    <row r="71" spans="1:7" ht="14.5" thickTop="1" x14ac:dyDescent="0.3">
      <c r="A71" s="12">
        <f>A70/D70</f>
        <v>0.4</v>
      </c>
      <c r="B71" s="12">
        <f>B70/D70</f>
        <v>0.6</v>
      </c>
      <c r="C71" s="13"/>
      <c r="E71" s="7">
        <f>C45+C47+C38</f>
        <v>3558.166666666667</v>
      </c>
      <c r="F71" s="7" t="s">
        <v>74</v>
      </c>
      <c r="G71" s="18" t="s">
        <v>75</v>
      </c>
    </row>
    <row r="72" spans="1:7" ht="14.5" thickBot="1" x14ac:dyDescent="0.35">
      <c r="A72" s="17">
        <f>0.4*D72</f>
        <v>73180.000266666655</v>
      </c>
      <c r="B72" s="15">
        <f>0.6*D72</f>
        <v>109770.00039999998</v>
      </c>
      <c r="C72" s="14">
        <f>SUM(C54:C70)</f>
        <v>1.0000000000000002</v>
      </c>
      <c r="D72" s="15">
        <f>SUM(D54:D71)</f>
        <v>182950.00066666663</v>
      </c>
      <c r="E72" s="15">
        <f>SUM(E54:E71)</f>
        <v>182950.00066666666</v>
      </c>
    </row>
    <row r="73" spans="1:7" ht="14.5" thickTop="1" x14ac:dyDescent="0.3">
      <c r="A73" s="12">
        <f>A72/D72</f>
        <v>0.4</v>
      </c>
      <c r="B73" s="12">
        <f>B72/D72</f>
        <v>0.6</v>
      </c>
    </row>
    <row r="74" spans="1:7" x14ac:dyDescent="0.3">
      <c r="D74" s="1">
        <f>D72/0.98</f>
        <v>186683.67414965984</v>
      </c>
      <c r="E74" s="1" t="s">
        <v>88</v>
      </c>
      <c r="F74" s="1" t="s">
        <v>91</v>
      </c>
    </row>
    <row r="75" spans="1:7" x14ac:dyDescent="0.3">
      <c r="D75" s="1">
        <f>D74-D72</f>
        <v>3733.6734829932102</v>
      </c>
      <c r="F75" s="1">
        <v>3734</v>
      </c>
    </row>
    <row r="76" spans="1:7" x14ac:dyDescent="0.3">
      <c r="D76" s="1">
        <f>D72/0.99</f>
        <v>184797.98047138043</v>
      </c>
      <c r="E76" s="1" t="s">
        <v>89</v>
      </c>
    </row>
    <row r="77" spans="1:7" x14ac:dyDescent="0.3">
      <c r="E77" s="1">
        <v>189950</v>
      </c>
      <c r="F77" s="1" t="s">
        <v>92</v>
      </c>
    </row>
  </sheetData>
  <pageMargins left="0.25" right="0.25" top="0.75" bottom="0.75" header="0.3" footer="0.3"/>
  <pageSetup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Malatesta</dc:creator>
  <cp:lastModifiedBy>Joseph Pfeiffer</cp:lastModifiedBy>
  <cp:lastPrinted>2018-05-01T15:17:18Z</cp:lastPrinted>
  <dcterms:created xsi:type="dcterms:W3CDTF">2018-04-30T20:13:27Z</dcterms:created>
  <dcterms:modified xsi:type="dcterms:W3CDTF">2018-05-14T18:09:46Z</dcterms:modified>
</cp:coreProperties>
</file>