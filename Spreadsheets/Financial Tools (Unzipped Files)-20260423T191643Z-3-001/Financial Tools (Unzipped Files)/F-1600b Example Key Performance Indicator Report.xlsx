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H&amp;C\Cell Connect\"/>
    </mc:Choice>
  </mc:AlternateContent>
  <xr:revisionPtr revIDLastSave="0" documentId="8_{083E260D-1AA6-49A8-BF3F-486EA6BFD680}" xr6:coauthVersionLast="31" xr6:coauthVersionMax="31" xr10:uidLastSave="{00000000-0000-0000-0000-000000000000}"/>
  <bookViews>
    <workbookView xWindow="0" yWindow="0" windowWidth="19200" windowHeight="6950" firstSheet="2" activeTab="4" xr2:uid="{93375392-2CFC-4EC1-9050-17974D41AB7F}"/>
  </bookViews>
  <sheets>
    <sheet name="Steiner - Weekly Cash Position" sheetId="5" r:id="rId1"/>
    <sheet name="Ops Report - Inventory, BO, etc" sheetId="8" r:id="rId2"/>
    <sheet name="Budget vs. Actual" sheetId="4" r:id="rId3"/>
    <sheet name="Contact of &quot;Old&quot; Dealers" sheetId="3" r:id="rId4"/>
    <sheet name="Ops Report - OT &amp; Production" sheetId="7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0" i="4" l="1"/>
  <c r="P29" i="4"/>
  <c r="P28" i="4"/>
  <c r="P27" i="4"/>
  <c r="P26" i="4"/>
  <c r="P25" i="4"/>
  <c r="P24" i="4"/>
  <c r="P23" i="4"/>
  <c r="P22" i="4"/>
  <c r="P21" i="4"/>
  <c r="P20" i="4"/>
  <c r="P19" i="4"/>
  <c r="P5" i="4"/>
  <c r="P6" i="4"/>
  <c r="P7" i="4"/>
  <c r="P8" i="4"/>
  <c r="P9" i="4"/>
  <c r="P10" i="4"/>
  <c r="P11" i="4"/>
  <c r="P12" i="4"/>
  <c r="P13" i="4"/>
  <c r="P14" i="4"/>
  <c r="P15" i="4"/>
  <c r="P4" i="4"/>
  <c r="H30" i="4"/>
  <c r="H29" i="4"/>
  <c r="H28" i="4"/>
  <c r="H27" i="4"/>
  <c r="H26" i="4"/>
  <c r="H25" i="4"/>
  <c r="H24" i="4"/>
  <c r="H23" i="4"/>
  <c r="H22" i="4"/>
  <c r="H21" i="4"/>
  <c r="H20" i="4"/>
  <c r="H19" i="4"/>
  <c r="H5" i="4"/>
  <c r="H6" i="4"/>
  <c r="H7" i="4"/>
  <c r="H8" i="4"/>
  <c r="H9" i="4"/>
  <c r="H10" i="4"/>
  <c r="H11" i="4"/>
  <c r="H12" i="4"/>
  <c r="H13" i="4"/>
  <c r="H14" i="4"/>
  <c r="H15" i="4"/>
  <c r="H4" i="4"/>
  <c r="F4" i="4"/>
  <c r="F7" i="4"/>
  <c r="I9" i="8" l="1"/>
  <c r="J9" i="8" s="1"/>
  <c r="I4" i="8"/>
  <c r="J4" i="8" s="1"/>
  <c r="E5" i="8"/>
  <c r="E6" i="8"/>
  <c r="E7" i="8"/>
  <c r="E8" i="8"/>
  <c r="E9" i="8"/>
  <c r="E10" i="8"/>
  <c r="E4" i="8"/>
  <c r="E3" i="8"/>
  <c r="C10" i="8"/>
  <c r="I15" i="8" l="1"/>
  <c r="H15" i="8"/>
  <c r="H37" i="8"/>
  <c r="H26" i="8"/>
  <c r="C17" i="8" l="1"/>
  <c r="C15" i="8" l="1"/>
  <c r="C22" i="8" l="1"/>
  <c r="C24" i="8" s="1"/>
  <c r="D32" i="8" l="1"/>
  <c r="C32" i="8"/>
  <c r="B32" i="8"/>
  <c r="I45" i="7" l="1"/>
  <c r="B45" i="7"/>
  <c r="I41" i="7"/>
  <c r="B41" i="7"/>
  <c r="I37" i="7"/>
  <c r="B37" i="7"/>
  <c r="G47" i="5" l="1"/>
  <c r="G43" i="5"/>
  <c r="G18" i="5"/>
  <c r="J45" i="7"/>
  <c r="J41" i="7"/>
  <c r="J37" i="7"/>
  <c r="F28" i="7" l="1"/>
  <c r="F27" i="7"/>
  <c r="F25" i="7"/>
  <c r="F24" i="7"/>
  <c r="F22" i="7"/>
  <c r="F21" i="7"/>
  <c r="F19" i="7"/>
  <c r="F18" i="7"/>
  <c r="F14" i="7"/>
  <c r="F12" i="7"/>
  <c r="F11" i="7"/>
  <c r="F9" i="7"/>
  <c r="F8" i="7"/>
  <c r="D45" i="7" l="1"/>
  <c r="D41" i="7"/>
  <c r="D37" i="7"/>
  <c r="J33" i="7"/>
  <c r="I33" i="7"/>
  <c r="H33" i="7"/>
  <c r="G33" i="7"/>
  <c r="E33" i="7"/>
  <c r="D33" i="7"/>
  <c r="C33" i="7"/>
  <c r="F31" i="7"/>
  <c r="F30" i="7"/>
  <c r="F16" i="7"/>
  <c r="F15" i="7"/>
  <c r="F6" i="7"/>
  <c r="F5" i="7"/>
  <c r="F4" i="7"/>
  <c r="F52" i="5"/>
  <c r="F51" i="5"/>
  <c r="G37" i="5"/>
  <c r="I37" i="5" s="1"/>
  <c r="G28" i="5"/>
  <c r="I28" i="5" s="1"/>
  <c r="F49" i="5"/>
  <c r="G54" i="5" l="1"/>
  <c r="G51" i="5"/>
  <c r="O45" i="4"/>
  <c r="P45" i="4" s="1"/>
  <c r="P44" i="4"/>
  <c r="O44" i="4"/>
  <c r="O43" i="4"/>
  <c r="P43" i="4" s="1"/>
  <c r="O42" i="4"/>
  <c r="P42" i="4" s="1"/>
  <c r="O41" i="4"/>
  <c r="P41" i="4" s="1"/>
  <c r="O40" i="4"/>
  <c r="P40" i="4" s="1"/>
  <c r="O39" i="4"/>
  <c r="P39" i="4" s="1"/>
  <c r="O38" i="4"/>
  <c r="P38" i="4" s="1"/>
  <c r="O37" i="4"/>
  <c r="P37" i="4" s="1"/>
  <c r="O36" i="4"/>
  <c r="P36" i="4" s="1"/>
  <c r="O35" i="4"/>
  <c r="P35" i="4" s="1"/>
  <c r="O34" i="4"/>
  <c r="P34" i="4" s="1"/>
  <c r="O30" i="4"/>
  <c r="O29" i="4"/>
  <c r="O28" i="4"/>
  <c r="O27" i="4"/>
  <c r="O26" i="4"/>
  <c r="O25" i="4"/>
  <c r="O24" i="4"/>
  <c r="O23" i="4"/>
  <c r="O22" i="4"/>
  <c r="O21" i="4"/>
  <c r="O20" i="4"/>
  <c r="O19" i="4"/>
  <c r="O5" i="4"/>
  <c r="O6" i="4"/>
  <c r="O7" i="4"/>
  <c r="O8" i="4"/>
  <c r="O9" i="4"/>
  <c r="O10" i="4"/>
  <c r="O11" i="4"/>
  <c r="O12" i="4"/>
  <c r="O13" i="4"/>
  <c r="O14" i="4"/>
  <c r="O15" i="4"/>
  <c r="O4" i="4"/>
  <c r="F34" i="4"/>
  <c r="H34" i="4" s="1"/>
  <c r="F35" i="4"/>
  <c r="H35" i="4" s="1"/>
  <c r="F36" i="4"/>
  <c r="H36" i="4"/>
  <c r="F37" i="4"/>
  <c r="H37" i="4" s="1"/>
  <c r="F38" i="4"/>
  <c r="H38" i="4"/>
  <c r="F39" i="4"/>
  <c r="H39" i="4" s="1"/>
  <c r="F40" i="4"/>
  <c r="H40" i="4" s="1"/>
  <c r="F41" i="4"/>
  <c r="H41" i="4" s="1"/>
  <c r="F42" i="4"/>
  <c r="H42" i="4" s="1"/>
  <c r="F43" i="4"/>
  <c r="H43" i="4" s="1"/>
  <c r="F44" i="4"/>
  <c r="H44" i="4"/>
  <c r="F45" i="4"/>
  <c r="H45" i="4" s="1"/>
  <c r="F30" i="4"/>
  <c r="F29" i="4"/>
  <c r="F28" i="4"/>
  <c r="F27" i="4"/>
  <c r="F26" i="4"/>
  <c r="F25" i="4"/>
  <c r="F24" i="4"/>
  <c r="F23" i="4"/>
  <c r="F22" i="4"/>
  <c r="F21" i="4"/>
  <c r="F20" i="4"/>
  <c r="F19" i="4"/>
  <c r="F15" i="4"/>
  <c r="F14" i="4"/>
  <c r="F13" i="4"/>
  <c r="F12" i="4"/>
  <c r="F11" i="4"/>
  <c r="F10" i="4"/>
  <c r="F9" i="4"/>
  <c r="F8" i="4"/>
  <c r="F6" i="4"/>
  <c r="F5" i="4"/>
  <c r="K45" i="3" l="1"/>
  <c r="I45" i="3"/>
  <c r="G45" i="3"/>
  <c r="E45" i="3"/>
  <c r="C45" i="3"/>
  <c r="K34" i="3"/>
  <c r="I34" i="3"/>
  <c r="G34" i="3"/>
  <c r="E34" i="3"/>
  <c r="E35" i="3" s="1"/>
  <c r="C34" i="3"/>
  <c r="K22" i="3"/>
  <c r="I22" i="3"/>
  <c r="G22" i="3"/>
  <c r="E22" i="3"/>
  <c r="C22" i="3"/>
  <c r="K11" i="3"/>
  <c r="I11" i="3"/>
  <c r="G11" i="3"/>
  <c r="E11" i="3"/>
  <c r="C11" i="3"/>
  <c r="E23" i="3" l="1"/>
  <c r="G23" i="3"/>
  <c r="K23" i="3"/>
  <c r="E12" i="3"/>
  <c r="E46" i="3"/>
  <c r="I35" i="3"/>
  <c r="G12" i="3"/>
  <c r="I23" i="3"/>
  <c r="K35" i="3"/>
  <c r="G46" i="3"/>
  <c r="I46" i="3"/>
  <c r="G35" i="3"/>
  <c r="K46" i="3"/>
  <c r="I12" i="3"/>
  <c r="K12" i="3"/>
</calcChain>
</file>

<file path=xl/sharedStrings.xml><?xml version="1.0" encoding="utf-8"?>
<sst xmlns="http://schemas.openxmlformats.org/spreadsheetml/2006/main" count="401" uniqueCount="208">
  <si>
    <t>January</t>
  </si>
  <si>
    <t>March</t>
  </si>
  <si>
    <t>April</t>
  </si>
  <si>
    <t>May</t>
  </si>
  <si>
    <t>June</t>
  </si>
  <si>
    <t>July</t>
  </si>
  <si>
    <t>August</t>
  </si>
  <si>
    <t>September</t>
  </si>
  <si>
    <t>February</t>
  </si>
  <si>
    <t>October</t>
  </si>
  <si>
    <t>November</t>
  </si>
  <si>
    <t>December</t>
  </si>
  <si>
    <t>Offline Wholesale</t>
  </si>
  <si>
    <t>Variance</t>
  </si>
  <si>
    <t>Var. %</t>
  </si>
  <si>
    <t>Monthly Budgeted</t>
  </si>
  <si>
    <t>Actual</t>
  </si>
  <si>
    <t>Month</t>
  </si>
  <si>
    <t>Mon.</t>
  </si>
  <si>
    <t>Tues.</t>
  </si>
  <si>
    <t>Wed.</t>
  </si>
  <si>
    <t>Thur.</t>
  </si>
  <si>
    <t xml:space="preserve">Fri. </t>
  </si>
  <si>
    <t>Sat.</t>
  </si>
  <si>
    <t>No. of Call p/Day</t>
  </si>
  <si>
    <t>No. Info. Sent</t>
  </si>
  <si>
    <t>No. of Orders</t>
  </si>
  <si>
    <t>$$ Amount Orders</t>
  </si>
  <si>
    <t>No. of Contacts</t>
  </si>
  <si>
    <t>TOTAL</t>
  </si>
  <si>
    <t>RECREATING Non-Active "DEALERS"</t>
  </si>
  <si>
    <t>Brandi  Erickson</t>
  </si>
  <si>
    <t>Contact Ratio</t>
  </si>
  <si>
    <t>Info Sent Ratio</t>
  </si>
  <si>
    <t>Orders Per Calls</t>
  </si>
  <si>
    <t>Sales $$ per Call</t>
  </si>
  <si>
    <t>CANVASING NEW "DEALERS"</t>
  </si>
  <si>
    <t>Shannon  Weber</t>
  </si>
  <si>
    <r>
      <t xml:space="preserve">Beginning            </t>
    </r>
    <r>
      <rPr>
        <b/>
        <u/>
        <sz val="11"/>
        <color theme="1"/>
        <rFont val="Calibri"/>
        <family val="2"/>
        <scheme val="minor"/>
      </rPr>
      <t xml:space="preserve"> WEEK</t>
    </r>
    <r>
      <rPr>
        <sz val="11"/>
        <color theme="1"/>
        <rFont val="Calibri"/>
        <family val="2"/>
        <scheme val="minor"/>
      </rPr>
      <t xml:space="preserve">                 Ending</t>
    </r>
  </si>
  <si>
    <t>____ /_____/20__</t>
  </si>
  <si>
    <t>Budget for the</t>
  </si>
  <si>
    <t>Month - Web Retail</t>
  </si>
  <si>
    <t>Month - Offline Retail</t>
  </si>
  <si>
    <t>ALL  RETAIL</t>
  </si>
  <si>
    <t>ALL WHOLESALE</t>
  </si>
  <si>
    <t>Web  Wholesale</t>
  </si>
  <si>
    <t>WEEKLY PERFORMANCE INDICATORS REPORT</t>
  </si>
  <si>
    <t xml:space="preserve"> </t>
  </si>
  <si>
    <t>FOR WEEK ENDING:</t>
  </si>
  <si>
    <t>FINANCIAL  AREA</t>
  </si>
  <si>
    <t>ITEM</t>
  </si>
  <si>
    <t>AMOUNT</t>
  </si>
  <si>
    <t>BALANCE</t>
  </si>
  <si>
    <t>BANK  ACCOUNT</t>
  </si>
  <si>
    <t>Week's Deposits</t>
  </si>
  <si>
    <t>Checks Written</t>
  </si>
  <si>
    <t>Checks Not Mailed</t>
  </si>
  <si>
    <t>Ending Balance</t>
  </si>
  <si>
    <t>RECAP  OF  RECEIPTS</t>
  </si>
  <si>
    <t>Miscellaneous Receipts</t>
  </si>
  <si>
    <t>Other Receipts</t>
  </si>
  <si>
    <t>Line of Credit Proceeds</t>
  </si>
  <si>
    <t>Loan Proceeds</t>
  </si>
  <si>
    <t>Total Receipts</t>
  </si>
  <si>
    <t>RECAP  OF  CHECKS</t>
  </si>
  <si>
    <t>Other  Payments</t>
  </si>
  <si>
    <t>Standard Payroll - Biweekly</t>
  </si>
  <si>
    <t>Payroll Taxes</t>
  </si>
  <si>
    <t>Loan/LOC Payments</t>
  </si>
  <si>
    <t>Total Checks Written</t>
  </si>
  <si>
    <t>ACCOUNTS  RECEIVABLE</t>
  </si>
  <si>
    <r>
      <t>Adjustments (</t>
    </r>
    <r>
      <rPr>
        <b/>
        <sz val="12"/>
        <color rgb="FFFF0000"/>
        <rFont val="Arial"/>
        <family val="2"/>
      </rPr>
      <t>debts</t>
    </r>
    <r>
      <rPr>
        <b/>
        <sz val="12"/>
        <rFont val="Arial"/>
        <family val="2"/>
      </rPr>
      <t>/credits)</t>
    </r>
  </si>
  <si>
    <t>ACCOUNTS  PAYABLE</t>
  </si>
  <si>
    <t>LIQUIDITY  SUMMARY</t>
  </si>
  <si>
    <t>Cash</t>
  </si>
  <si>
    <t>Cash Equivalents</t>
  </si>
  <si>
    <t>Accounts Receivable</t>
  </si>
  <si>
    <t>Accounts Payable</t>
  </si>
  <si>
    <t xml:space="preserve">CURRENT  LIQUIDITY  POSITION </t>
  </si>
  <si>
    <t>STEINER TRACTOR PARTS, Inc.</t>
  </si>
  <si>
    <t>OVERTIME  HOURS</t>
  </si>
  <si>
    <t>Job Classification</t>
  </si>
  <si>
    <t># Regular Hrs.</t>
  </si>
  <si>
    <t># OT  Hours</t>
  </si>
  <si>
    <t>Dollar Cost</t>
  </si>
  <si>
    <t>Weekly %</t>
  </si>
  <si>
    <t># Overtime</t>
  </si>
  <si>
    <t>Dollar $ Cost</t>
  </si>
  <si>
    <t>Department</t>
  </si>
  <si>
    <t>or  job function</t>
  </si>
  <si>
    <t>Pay Period</t>
  </si>
  <si>
    <t>per Pay Period</t>
  </si>
  <si>
    <t>of Overtime</t>
  </si>
  <si>
    <t>Hours Month</t>
  </si>
  <si>
    <t>per Month</t>
  </si>
  <si>
    <t>Hours YTD</t>
  </si>
  <si>
    <t>Year To Date</t>
  </si>
  <si>
    <t xml:space="preserve">Admin. </t>
  </si>
  <si>
    <t xml:space="preserve">Company Total: </t>
  </si>
  <si>
    <t>Payroll Period - # Hrs.</t>
  </si>
  <si>
    <t>Period Sales $</t>
  </si>
  <si>
    <t>Man Hour</t>
  </si>
  <si>
    <t>Mgr./ Admin.</t>
  </si>
  <si>
    <t>Tech Support Asst.</t>
  </si>
  <si>
    <t>Tech Support Dept.</t>
  </si>
  <si>
    <t>Receiving Dept.</t>
  </si>
  <si>
    <t>Receiving Clerk(s)</t>
  </si>
  <si>
    <t>Tech Specialist(s)</t>
  </si>
  <si>
    <t>Inventory Dept.</t>
  </si>
  <si>
    <t>Inventory Stocker(s)</t>
  </si>
  <si>
    <t>Shipping Dept.</t>
  </si>
  <si>
    <t>Packer / Shipper</t>
  </si>
  <si>
    <t>Parts Puller</t>
  </si>
  <si>
    <t>Quality Control Dept.</t>
  </si>
  <si>
    <t>QC - Parts Inspector</t>
  </si>
  <si>
    <t>CSR Dept.</t>
  </si>
  <si>
    <t>Cust. Service Rep(s)</t>
  </si>
  <si>
    <t>Marketing Dept.</t>
  </si>
  <si>
    <t>Designer</t>
  </si>
  <si>
    <t>Accounting/Admin.</t>
  </si>
  <si>
    <t xml:space="preserve">Staff Hourly </t>
  </si>
  <si>
    <t>Purchasing Dept.</t>
  </si>
  <si>
    <t>Purchasing Asst.</t>
  </si>
  <si>
    <t>LABOR Productivity</t>
  </si>
  <si>
    <t>Item Per</t>
  </si>
  <si>
    <t>Warehouse</t>
  </si>
  <si>
    <t>Customer Service</t>
  </si>
  <si>
    <t># of Items Sold</t>
  </si>
  <si>
    <t>Total Company</t>
  </si>
  <si>
    <t xml:space="preserve">Steiner Tractor </t>
  </si>
  <si>
    <t>PRODUCTIVITY   by  SALES</t>
  </si>
  <si>
    <t>Revenue per</t>
  </si>
  <si>
    <t>Payroll Hours</t>
  </si>
  <si>
    <t>Cash in Bank - Chase Main Account</t>
  </si>
  <si>
    <t>Cash in ELGA Credit Union - Elite Savings</t>
  </si>
  <si>
    <t>Cash in ELGA Credit Union - Checking Account</t>
  </si>
  <si>
    <t>Cash in ELGA Credit Union - Regular Savings</t>
  </si>
  <si>
    <t>Cash in Bank - Chase Wire Account</t>
  </si>
  <si>
    <t>Cash on Hand - Petty Cash</t>
  </si>
  <si>
    <t>Line of Credit   remaining Bal.</t>
  </si>
  <si>
    <t>Weekly Receipts/Deposits - PARTS</t>
  </si>
  <si>
    <t>Weekly Receipts/Deposits - DECALS</t>
  </si>
  <si>
    <t>Weekly Receipts/Deposits - BOOKS</t>
  </si>
  <si>
    <t>Weekly Receipts/Deposits - Shipping &amp; Handling</t>
  </si>
  <si>
    <t>Vendor/Material Payments - International</t>
  </si>
  <si>
    <r>
      <t>Vendor/Material Payments</t>
    </r>
    <r>
      <rPr>
        <b/>
        <sz val="10"/>
        <rFont val="Arial"/>
        <family val="2"/>
      </rPr>
      <t xml:space="preserve"> - </t>
    </r>
    <r>
      <rPr>
        <b/>
        <sz val="12"/>
        <rFont val="Arial"/>
        <family val="2"/>
      </rPr>
      <t>Domestic</t>
    </r>
  </si>
  <si>
    <t>Ending Balance A/P in Great Plains</t>
  </si>
  <si>
    <t>Ending Balance A/R in Great Plains</t>
  </si>
  <si>
    <t>Hour</t>
  </si>
  <si>
    <t>PRODUCTIVITY   by  SALES   (Non-Web)</t>
  </si>
  <si>
    <t xml:space="preserve">Beginning Inventory : </t>
  </si>
  <si>
    <t xml:space="preserve">Ending Inventory : </t>
  </si>
  <si>
    <t xml:space="preserve">Average Inventory : </t>
  </si>
  <si>
    <t xml:space="preserve">Cost of Goods Sold : </t>
  </si>
  <si>
    <t>Inventory Turns</t>
  </si>
  <si>
    <t>SAFETY</t>
  </si>
  <si>
    <t>This Week</t>
  </si>
  <si>
    <t>YTD</t>
  </si>
  <si>
    <t>Total Hrs. Worked</t>
  </si>
  <si>
    <t>Hrs. lost to Injury</t>
  </si>
  <si>
    <t>No. of Injuries</t>
  </si>
  <si>
    <t># Days w/o ACDT</t>
  </si>
  <si>
    <t>Hrs.  Lost  %%</t>
  </si>
  <si>
    <t xml:space="preserve">  Reviewed</t>
  </si>
  <si>
    <t xml:space="preserve"> Signatures: </t>
  </si>
  <si>
    <t>ACCOUNTS RECEIVABLES:</t>
  </si>
  <si>
    <t>CURRENT:</t>
  </si>
  <si>
    <t>31 - 60 DAYS:</t>
  </si>
  <si>
    <t>61 - 90 DAYS:</t>
  </si>
  <si>
    <t>OVER 90 DAYS:</t>
  </si>
  <si>
    <t>TOTALS:</t>
  </si>
  <si>
    <t>ACCOUNTS PAYABLES:</t>
  </si>
  <si>
    <t>Office Manager : ________________________</t>
  </si>
  <si>
    <t>General Manager : ________________________</t>
  </si>
  <si>
    <t>Vice President : __________________________</t>
  </si>
  <si>
    <t>President: _______________________________</t>
  </si>
  <si>
    <t>Human Resource : _________________________</t>
  </si>
  <si>
    <t>INVENTORY TURNS for PARTS</t>
  </si>
  <si>
    <t xml:space="preserve">Purchases (COG Sold) : </t>
  </si>
  <si>
    <t xml:space="preserve">Sub-Total : </t>
  </si>
  <si>
    <t>INVENTORY  CARRYING  COST for PARTS</t>
  </si>
  <si>
    <t xml:space="preserve">Parts Ending Inventory : </t>
  </si>
  <si>
    <t>MONTH</t>
  </si>
  <si>
    <t>Year to Date</t>
  </si>
  <si>
    <t>Freight Billed</t>
  </si>
  <si>
    <t>Freight Paid</t>
  </si>
  <si>
    <t>Week Prior</t>
  </si>
  <si>
    <t>Variance + / -</t>
  </si>
  <si>
    <t>Variance %</t>
  </si>
  <si>
    <t>Age Group</t>
  </si>
  <si>
    <t>Sum of Total Cost</t>
  </si>
  <si>
    <t>% of Total</t>
  </si>
  <si>
    <t>A: 0 to 3 Months</t>
  </si>
  <si>
    <t>B: 4 to 6 Months</t>
  </si>
  <si>
    <t>C: 7 to 12 Months</t>
  </si>
  <si>
    <t>D: 13 to 18 Months</t>
  </si>
  <si>
    <t>E: 19 to 24 Months</t>
  </si>
  <si>
    <t>F: 25 to 36 Months</t>
  </si>
  <si>
    <t>G: 37 plus Months</t>
  </si>
  <si>
    <t>Grand TOTAL</t>
  </si>
  <si>
    <t xml:space="preserve">BACK  ORDERED  ITEMS </t>
  </si>
  <si>
    <t>3/10/2018</t>
  </si>
  <si>
    <t>Accumlative  YTD</t>
  </si>
  <si>
    <t>BACK  ORDERED  ITEMS by  DOLLARS</t>
  </si>
  <si>
    <t>Shipping Vendor/Matl &amp; all non-parts Vendor Payments</t>
  </si>
  <si>
    <t>Inventory Obsolete Cost for the Month</t>
  </si>
  <si>
    <t>Inventory Carrying Cost - Parts</t>
  </si>
  <si>
    <t>This Pay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</si>
</sst>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mmmm\ d\,\ yyyy"/>
    <numFmt numFmtId="167" formatCode="0.0"/>
    <numFmt numFmtId="168" formatCode="#,##0.0"/>
    <numFmt numFmtId="169" formatCode="#,##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color rgb="FFFFFF00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indexed="9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 Black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4"/>
      <name val="Arial"/>
      <family val="2"/>
    </font>
    <font>
      <b/>
      <u/>
      <sz val="2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b/>
      <sz val="9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u val="singleAccounting"/>
      <sz val="10"/>
      <name val="Times New Roman"/>
      <family val="1"/>
    </font>
    <font>
      <b/>
      <u val="singleAccounting"/>
      <sz val="10"/>
      <name val="Times New Roman"/>
      <family val="1"/>
    </font>
    <font>
      <b/>
      <sz val="11"/>
      <color theme="0"/>
      <name val="Arial"/>
      <family val="2"/>
    </font>
    <font>
      <b/>
      <u val="singleAccounting"/>
      <sz val="10"/>
      <name val="Arial"/>
      <family val="2"/>
    </font>
    <font>
      <b/>
      <u val="doubleAccounting"/>
      <sz val="10"/>
      <name val="Times New Roman"/>
      <family val="1"/>
    </font>
    <font>
      <sz val="8"/>
      <name val="Times New Roman"/>
      <family val="1"/>
    </font>
    <font>
      <b/>
      <sz val="9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7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</cellStyleXfs>
  <cellXfs count="281">
    <xf numFmtId="0" fontId="0" fillId="0" borderId="0" xfId="0"/>
    <xf numFmtId="0" fontId="0" fillId="0" borderId="0" xfId="0" applyAlignment="1">
      <alignment horizontal="center"/>
    </xf>
    <xf numFmtId="0" fontId="3" fillId="3" borderId="2" xfId="0" applyFont="1" applyFill="1" applyBorder="1"/>
    <xf numFmtId="3" fontId="4" fillId="4" borderId="3" xfId="0" applyNumberFormat="1" applyFont="1" applyFill="1" applyBorder="1" applyAlignment="1">
      <alignment horizontal="center"/>
    </xf>
    <xf numFmtId="3" fontId="5" fillId="4" borderId="4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64" fontId="7" fillId="5" borderId="3" xfId="3" applyNumberFormat="1" applyFont="1" applyFill="1" applyBorder="1" applyAlignment="1">
      <alignment horizontal="right"/>
    </xf>
    <xf numFmtId="164" fontId="3" fillId="6" borderId="3" xfId="3" applyNumberFormat="1" applyFont="1" applyFill="1" applyBorder="1"/>
    <xf numFmtId="165" fontId="7" fillId="6" borderId="6" xfId="2" applyNumberFormat="1" applyFont="1" applyFill="1" applyBorder="1" applyAlignment="1">
      <alignment horizontal="center"/>
    </xf>
    <xf numFmtId="164" fontId="7" fillId="2" borderId="3" xfId="3" applyNumberFormat="1" applyFont="1" applyFill="1" applyBorder="1" applyAlignment="1">
      <alignment horizontal="right"/>
    </xf>
    <xf numFmtId="0" fontId="8" fillId="7" borderId="7" xfId="0" applyFont="1" applyFill="1" applyBorder="1" applyAlignment="1">
      <alignment horizontal="right"/>
    </xf>
    <xf numFmtId="0" fontId="8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44" fontId="10" fillId="7" borderId="7" xfId="1" applyFont="1" applyFill="1" applyBorder="1" applyAlignment="1">
      <alignment horizontal="center"/>
    </xf>
    <xf numFmtId="0" fontId="11" fillId="4" borderId="0" xfId="0" applyFont="1" applyFill="1"/>
    <xf numFmtId="10" fontId="13" fillId="4" borderId="6" xfId="2" applyNumberFormat="1" applyFont="1" applyFill="1" applyBorder="1" applyAlignment="1">
      <alignment horizontal="center"/>
    </xf>
    <xf numFmtId="44" fontId="14" fillId="4" borderId="6" xfId="1" applyFont="1" applyFill="1" applyBorder="1" applyAlignment="1">
      <alignment horizontal="center"/>
    </xf>
    <xf numFmtId="0" fontId="0" fillId="4" borderId="6" xfId="0" applyFill="1" applyBorder="1"/>
    <xf numFmtId="0" fontId="2" fillId="4" borderId="6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3" fillId="3" borderId="0" xfId="0" applyFont="1" applyFill="1" applyBorder="1"/>
    <xf numFmtId="0" fontId="0" fillId="0" borderId="0" xfId="0" applyBorder="1"/>
    <xf numFmtId="0" fontId="3" fillId="3" borderId="8" xfId="0" applyFont="1" applyFill="1" applyBorder="1"/>
    <xf numFmtId="0" fontId="3" fillId="3" borderId="9" xfId="0" applyFont="1" applyFill="1" applyBorder="1"/>
    <xf numFmtId="3" fontId="4" fillId="4" borderId="4" xfId="0" applyNumberFormat="1" applyFont="1" applyFill="1" applyBorder="1" applyAlignment="1">
      <alignment horizontal="center"/>
    </xf>
    <xf numFmtId="0" fontId="16" fillId="0" borderId="0" xfId="4" applyFont="1"/>
    <xf numFmtId="0" fontId="17" fillId="0" borderId="0" xfId="4" applyFont="1" applyAlignment="1">
      <alignment horizontal="center"/>
    </xf>
    <xf numFmtId="0" fontId="6" fillId="0" borderId="0" xfId="4"/>
    <xf numFmtId="0" fontId="18" fillId="0" borderId="0" xfId="4" applyFont="1" applyAlignment="1">
      <alignment horizontal="center"/>
    </xf>
    <xf numFmtId="0" fontId="17" fillId="0" borderId="0" xfId="0" applyFont="1" applyFill="1" applyAlignment="1">
      <alignment horizontal="center"/>
    </xf>
    <xf numFmtId="0" fontId="6" fillId="0" borderId="10" xfId="4" applyBorder="1"/>
    <xf numFmtId="0" fontId="6" fillId="0" borderId="11" xfId="4" applyBorder="1"/>
    <xf numFmtId="0" fontId="6" fillId="0" borderId="12" xfId="4" applyBorder="1"/>
    <xf numFmtId="0" fontId="6" fillId="0" borderId="13" xfId="4" applyBorder="1"/>
    <xf numFmtId="0" fontId="19" fillId="0" borderId="0" xfId="4" applyFont="1" applyBorder="1" applyAlignment="1">
      <alignment horizontal="right"/>
    </xf>
    <xf numFmtId="166" fontId="19" fillId="10" borderId="6" xfId="4" applyNumberFormat="1" applyFont="1" applyFill="1" applyBorder="1" applyAlignment="1">
      <alignment horizontal="center"/>
    </xf>
    <xf numFmtId="0" fontId="20" fillId="0" borderId="0" xfId="4" applyFont="1" applyBorder="1" applyAlignment="1">
      <alignment horizontal="center"/>
    </xf>
    <xf numFmtId="0" fontId="6" fillId="0" borderId="0" xfId="4" applyBorder="1"/>
    <xf numFmtId="0" fontId="6" fillId="0" borderId="14" xfId="4" applyBorder="1"/>
    <xf numFmtId="0" fontId="20" fillId="0" borderId="14" xfId="4" applyFont="1" applyBorder="1" applyAlignment="1">
      <alignment horizontal="center"/>
    </xf>
    <xf numFmtId="0" fontId="19" fillId="11" borderId="0" xfId="4" applyFont="1" applyFill="1" applyBorder="1" applyAlignment="1">
      <alignment horizontal="center"/>
    </xf>
    <xf numFmtId="0" fontId="19" fillId="0" borderId="0" xfId="4" applyFont="1" applyFill="1" applyBorder="1" applyAlignment="1">
      <alignment horizontal="center"/>
    </xf>
    <xf numFmtId="6" fontId="19" fillId="12" borderId="0" xfId="4" applyNumberFormat="1" applyFont="1" applyFill="1" applyBorder="1"/>
    <xf numFmtId="6" fontId="19" fillId="0" borderId="0" xfId="4" applyNumberFormat="1" applyFont="1" applyBorder="1"/>
    <xf numFmtId="6" fontId="19" fillId="0" borderId="14" xfId="4" applyNumberFormat="1" applyFont="1" applyBorder="1"/>
    <xf numFmtId="6" fontId="19" fillId="11" borderId="0" xfId="4" applyNumberFormat="1" applyFont="1" applyFill="1" applyBorder="1"/>
    <xf numFmtId="6" fontId="19" fillId="11" borderId="15" xfId="4" applyNumberFormat="1" applyFont="1" applyFill="1" applyBorder="1"/>
    <xf numFmtId="6" fontId="19" fillId="11" borderId="6" xfId="4" applyNumberFormat="1" applyFont="1" applyFill="1" applyBorder="1"/>
    <xf numFmtId="6" fontId="19" fillId="0" borderId="14" xfId="4" applyNumberFormat="1" applyFont="1" applyFill="1" applyBorder="1"/>
    <xf numFmtId="0" fontId="19" fillId="0" borderId="0" xfId="4" applyFont="1" applyBorder="1" applyAlignment="1">
      <alignment horizontal="center"/>
    </xf>
    <xf numFmtId="0" fontId="19" fillId="0" borderId="0" xfId="4" applyFont="1" applyBorder="1"/>
    <xf numFmtId="0" fontId="19" fillId="13" borderId="0" xfId="4" applyFont="1" applyFill="1" applyBorder="1" applyAlignment="1">
      <alignment horizontal="center"/>
    </xf>
    <xf numFmtId="0" fontId="19" fillId="12" borderId="0" xfId="4" applyFont="1" applyFill="1" applyBorder="1" applyAlignment="1">
      <alignment horizontal="right"/>
    </xf>
    <xf numFmtId="6" fontId="19" fillId="13" borderId="0" xfId="4" applyNumberFormat="1" applyFont="1" applyFill="1" applyBorder="1"/>
    <xf numFmtId="6" fontId="19" fillId="13" borderId="15" xfId="4" applyNumberFormat="1" applyFont="1" applyFill="1" applyBorder="1"/>
    <xf numFmtId="6" fontId="19" fillId="13" borderId="6" xfId="4" applyNumberFormat="1" applyFont="1" applyFill="1" applyBorder="1"/>
    <xf numFmtId="0" fontId="19" fillId="0" borderId="0" xfId="4" applyFont="1" applyAlignment="1">
      <alignment horizontal="center"/>
    </xf>
    <xf numFmtId="0" fontId="19" fillId="14" borderId="0" xfId="4" applyFont="1" applyFill="1" applyBorder="1" applyAlignment="1">
      <alignment horizontal="center"/>
    </xf>
    <xf numFmtId="0" fontId="19" fillId="0" borderId="0" xfId="4" applyFont="1" applyFill="1" applyBorder="1" applyAlignment="1">
      <alignment horizontal="right"/>
    </xf>
    <xf numFmtId="6" fontId="19" fillId="15" borderId="0" xfId="4" applyNumberFormat="1" applyFont="1" applyFill="1" applyBorder="1"/>
    <xf numFmtId="6" fontId="19" fillId="0" borderId="0" xfId="4" applyNumberFormat="1" applyFont="1" applyFill="1" applyBorder="1"/>
    <xf numFmtId="0" fontId="19" fillId="15" borderId="0" xfId="4" applyFont="1" applyFill="1" applyBorder="1" applyAlignment="1">
      <alignment horizontal="center"/>
    </xf>
    <xf numFmtId="6" fontId="19" fillId="15" borderId="15" xfId="4" applyNumberFormat="1" applyFont="1" applyFill="1" applyBorder="1"/>
    <xf numFmtId="6" fontId="19" fillId="15" borderId="6" xfId="4" applyNumberFormat="1" applyFont="1" applyFill="1" applyBorder="1"/>
    <xf numFmtId="0" fontId="22" fillId="16" borderId="0" xfId="4" applyFont="1" applyFill="1" applyBorder="1" applyAlignment="1">
      <alignment horizontal="center"/>
    </xf>
    <xf numFmtId="6" fontId="19" fillId="17" borderId="0" xfId="4" applyNumberFormat="1" applyFont="1" applyFill="1" applyBorder="1"/>
    <xf numFmtId="0" fontId="19" fillId="17" borderId="0" xfId="4" applyFont="1" applyFill="1" applyBorder="1" applyAlignment="1">
      <alignment horizontal="center"/>
    </xf>
    <xf numFmtId="0" fontId="19" fillId="16" borderId="0" xfId="4" applyFont="1" applyFill="1" applyBorder="1" applyAlignment="1">
      <alignment horizontal="center"/>
    </xf>
    <xf numFmtId="6" fontId="19" fillId="17" borderId="15" xfId="4" applyNumberFormat="1" applyFont="1" applyFill="1" applyBorder="1"/>
    <xf numFmtId="6" fontId="19" fillId="17" borderId="6" xfId="4" applyNumberFormat="1" applyFont="1" applyFill="1" applyBorder="1"/>
    <xf numFmtId="0" fontId="19" fillId="18" borderId="0" xfId="4" applyFont="1" applyFill="1" applyBorder="1" applyAlignment="1">
      <alignment horizontal="center"/>
    </xf>
    <xf numFmtId="6" fontId="19" fillId="19" borderId="0" xfId="4" applyNumberFormat="1" applyFont="1" applyFill="1" applyBorder="1"/>
    <xf numFmtId="0" fontId="19" fillId="19" borderId="0" xfId="4" applyFont="1" applyFill="1" applyBorder="1" applyAlignment="1">
      <alignment horizontal="center"/>
    </xf>
    <xf numFmtId="6" fontId="19" fillId="18" borderId="15" xfId="4" applyNumberFormat="1" applyFont="1" applyFill="1" applyBorder="1"/>
    <xf numFmtId="6" fontId="19" fillId="19" borderId="6" xfId="4" applyNumberFormat="1" applyFont="1" applyFill="1" applyBorder="1"/>
    <xf numFmtId="0" fontId="19" fillId="20" borderId="0" xfId="4" applyFont="1" applyFill="1" applyBorder="1" applyAlignment="1">
      <alignment horizontal="center"/>
    </xf>
    <xf numFmtId="6" fontId="19" fillId="20" borderId="0" xfId="4" applyNumberFormat="1" applyFont="1" applyFill="1" applyBorder="1"/>
    <xf numFmtId="6" fontId="21" fillId="0" borderId="0" xfId="4" applyNumberFormat="1" applyFont="1" applyBorder="1" applyAlignment="1">
      <alignment horizontal="center"/>
    </xf>
    <xf numFmtId="6" fontId="19" fillId="21" borderId="0" xfId="4" applyNumberFormat="1" applyFont="1" applyFill="1" applyBorder="1"/>
    <xf numFmtId="6" fontId="19" fillId="20" borderId="6" xfId="4" applyNumberFormat="1" applyFont="1" applyFill="1" applyBorder="1"/>
    <xf numFmtId="6" fontId="19" fillId="20" borderId="15" xfId="4" applyNumberFormat="1" applyFont="1" applyFill="1" applyBorder="1"/>
    <xf numFmtId="0" fontId="24" fillId="0" borderId="0" xfId="4" applyFont="1" applyBorder="1" applyAlignment="1">
      <alignment horizontal="right"/>
    </xf>
    <xf numFmtId="6" fontId="25" fillId="20" borderId="16" xfId="4" applyNumberFormat="1" applyFont="1" applyFill="1" applyBorder="1"/>
    <xf numFmtId="6" fontId="25" fillId="0" borderId="14" xfId="4" applyNumberFormat="1" applyFont="1" applyFill="1" applyBorder="1"/>
    <xf numFmtId="0" fontId="6" fillId="0" borderId="17" xfId="4" applyBorder="1"/>
    <xf numFmtId="0" fontId="19" fillId="0" borderId="18" xfId="4" applyFont="1" applyBorder="1" applyAlignment="1">
      <alignment horizontal="center"/>
    </xf>
    <xf numFmtId="0" fontId="19" fillId="0" borderId="18" xfId="4" applyFont="1" applyBorder="1" applyAlignment="1">
      <alignment horizontal="right"/>
    </xf>
    <xf numFmtId="6" fontId="19" fillId="0" borderId="18" xfId="4" applyNumberFormat="1" applyFont="1" applyBorder="1"/>
    <xf numFmtId="6" fontId="19" fillId="0" borderId="19" xfId="4" applyNumberFormat="1" applyFont="1" applyBorder="1"/>
    <xf numFmtId="0" fontId="3" fillId="0" borderId="0" xfId="0" applyFont="1" applyBorder="1"/>
    <xf numFmtId="0" fontId="3" fillId="3" borderId="23" xfId="0" applyFont="1" applyFill="1" applyBorder="1"/>
    <xf numFmtId="0" fontId="26" fillId="4" borderId="24" xfId="0" applyFont="1" applyFill="1" applyBorder="1" applyAlignment="1">
      <alignment horizontal="center"/>
    </xf>
    <xf numFmtId="0" fontId="26" fillId="4" borderId="25" xfId="0" applyFont="1" applyFill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6" fillId="4" borderId="27" xfId="0" applyFont="1" applyFill="1" applyBorder="1" applyAlignment="1">
      <alignment horizontal="center"/>
    </xf>
    <xf numFmtId="0" fontId="26" fillId="4" borderId="15" xfId="0" applyFont="1" applyFill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164" fontId="3" fillId="5" borderId="6" xfId="3" applyNumberFormat="1" applyFont="1" applyFill="1" applyBorder="1" applyAlignment="1">
      <alignment horizontal="center"/>
    </xf>
    <xf numFmtId="10" fontId="3" fillId="22" borderId="29" xfId="2" applyNumberFormat="1" applyFont="1" applyFill="1" applyBorder="1" applyAlignment="1">
      <alignment horizontal="center"/>
    </xf>
    <xf numFmtId="1" fontId="3" fillId="5" borderId="29" xfId="0" applyNumberFormat="1" applyFont="1" applyFill="1" applyBorder="1" applyAlignment="1">
      <alignment horizontal="center"/>
    </xf>
    <xf numFmtId="164" fontId="3" fillId="5" borderId="28" xfId="3" applyNumberFormat="1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1" fontId="3" fillId="4" borderId="34" xfId="0" applyNumberFormat="1" applyFont="1" applyFill="1" applyBorder="1" applyAlignment="1">
      <alignment horizontal="center"/>
    </xf>
    <xf numFmtId="164" fontId="3" fillId="4" borderId="21" xfId="3" applyNumberFormat="1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164" fontId="3" fillId="4" borderId="22" xfId="3" applyNumberFormat="1" applyFont="1" applyFill="1" applyBorder="1" applyAlignment="1">
      <alignment horizontal="center"/>
    </xf>
    <xf numFmtId="1" fontId="3" fillId="4" borderId="29" xfId="0" applyNumberFormat="1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3" fontId="5" fillId="4" borderId="32" xfId="0" applyNumberFormat="1" applyFont="1" applyFill="1" applyBorder="1" applyAlignment="1">
      <alignment horizontal="center"/>
    </xf>
    <xf numFmtId="3" fontId="5" fillId="4" borderId="34" xfId="0" applyNumberFormat="1" applyFont="1" applyFill="1" applyBorder="1" applyAlignment="1">
      <alignment horizontal="center"/>
    </xf>
    <xf numFmtId="3" fontId="5" fillId="4" borderId="36" xfId="0" applyNumberFormat="1" applyFont="1" applyFill="1" applyBorder="1" applyAlignment="1">
      <alignment horizontal="center"/>
    </xf>
    <xf numFmtId="3" fontId="5" fillId="4" borderId="37" xfId="0" applyNumberFormat="1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1" fontId="27" fillId="5" borderId="6" xfId="0" applyNumberFormat="1" applyFont="1" applyFill="1" applyBorder="1" applyAlignment="1">
      <alignment horizontal="center"/>
    </xf>
    <xf numFmtId="44" fontId="3" fillId="22" borderId="29" xfId="1" applyFont="1" applyFill="1" applyBorder="1" applyAlignment="1">
      <alignment horizontal="center"/>
    </xf>
    <xf numFmtId="164" fontId="27" fillId="5" borderId="6" xfId="1" applyNumberFormat="1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9" fillId="4" borderId="15" xfId="0" applyFont="1" applyFill="1" applyBorder="1" applyAlignment="1">
      <alignment horizontal="center"/>
    </xf>
    <xf numFmtId="0" fontId="29" fillId="4" borderId="28" xfId="0" applyFont="1" applyFill="1" applyBorder="1" applyAlignment="1">
      <alignment horizontal="center"/>
    </xf>
    <xf numFmtId="0" fontId="29" fillId="4" borderId="25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167" fontId="27" fillId="22" borderId="6" xfId="0" applyNumberFormat="1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3" fillId="0" borderId="38" xfId="0" applyFont="1" applyBorder="1"/>
    <xf numFmtId="0" fontId="3" fillId="3" borderId="4" xfId="0" applyFont="1" applyFill="1" applyBorder="1"/>
    <xf numFmtId="1" fontId="3" fillId="0" borderId="40" xfId="0" applyNumberFormat="1" applyFont="1" applyFill="1" applyBorder="1" applyAlignment="1">
      <alignment horizontal="center"/>
    </xf>
    <xf numFmtId="4" fontId="3" fillId="0" borderId="4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0" fontId="30" fillId="0" borderId="7" xfId="0" applyFont="1" applyBorder="1"/>
    <xf numFmtId="0" fontId="31" fillId="0" borderId="21" xfId="0" applyFont="1" applyBorder="1"/>
    <xf numFmtId="0" fontId="3" fillId="3" borderId="21" xfId="0" applyFont="1" applyFill="1" applyBorder="1"/>
    <xf numFmtId="0" fontId="3" fillId="3" borderId="22" xfId="0" applyFont="1" applyFill="1" applyBorder="1"/>
    <xf numFmtId="0" fontId="31" fillId="0" borderId="24" xfId="0" applyFont="1" applyBorder="1"/>
    <xf numFmtId="0" fontId="3" fillId="3" borderId="26" xfId="0" applyFont="1" applyFill="1" applyBorder="1"/>
    <xf numFmtId="0" fontId="31" fillId="0" borderId="2" xfId="0" applyFont="1" applyBorder="1"/>
    <xf numFmtId="0" fontId="31" fillId="0" borderId="0" xfId="0" applyFont="1" applyBorder="1"/>
    <xf numFmtId="0" fontId="3" fillId="3" borderId="42" xfId="0" applyFont="1" applyFill="1" applyBorder="1"/>
    <xf numFmtId="0" fontId="30" fillId="0" borderId="27" xfId="0" applyFont="1" applyBorder="1" applyAlignment="1">
      <alignment horizontal="right"/>
    </xf>
    <xf numFmtId="0" fontId="3" fillId="3" borderId="28" xfId="0" applyFont="1" applyFill="1" applyBorder="1"/>
    <xf numFmtId="0" fontId="3" fillId="3" borderId="33" xfId="0" applyFont="1" applyFill="1" applyBorder="1"/>
    <xf numFmtId="0" fontId="3" fillId="0" borderId="41" xfId="0" applyFont="1" applyFill="1" applyBorder="1" applyAlignment="1">
      <alignment horizontal="center"/>
    </xf>
    <xf numFmtId="2" fontId="3" fillId="24" borderId="3" xfId="0" applyNumberFormat="1" applyFont="1" applyFill="1" applyBorder="1" applyAlignment="1">
      <alignment horizontal="center"/>
    </xf>
    <xf numFmtId="1" fontId="3" fillId="23" borderId="3" xfId="0" applyNumberFormat="1" applyFont="1" applyFill="1" applyBorder="1" applyAlignment="1">
      <alignment horizontal="center"/>
    </xf>
    <xf numFmtId="3" fontId="3" fillId="5" borderId="3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167" fontId="3" fillId="5" borderId="4" xfId="0" applyNumberFormat="1" applyFont="1" applyFill="1" applyBorder="1" applyAlignment="1">
      <alignment horizontal="center"/>
    </xf>
    <xf numFmtId="168" fontId="3" fillId="5" borderId="39" xfId="0" applyNumberFormat="1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9" xfId="0" applyFont="1" applyBorder="1" applyAlignment="1">
      <alignment vertical="top"/>
    </xf>
    <xf numFmtId="0" fontId="3" fillId="0" borderId="23" xfId="0" applyFont="1" applyBorder="1" applyAlignment="1">
      <alignment horizontal="left"/>
    </xf>
    <xf numFmtId="0" fontId="3" fillId="0" borderId="43" xfId="0" applyFont="1" applyBorder="1"/>
    <xf numFmtId="0" fontId="3" fillId="0" borderId="9" xfId="0" applyFont="1" applyBorder="1" applyAlignment="1"/>
    <xf numFmtId="0" fontId="3" fillId="0" borderId="0" xfId="0" applyFont="1" applyBorder="1" applyAlignment="1"/>
    <xf numFmtId="0" fontId="3" fillId="0" borderId="9" xfId="0" applyFont="1" applyBorder="1" applyAlignment="1">
      <alignment vertical="top"/>
    </xf>
    <xf numFmtId="0" fontId="3" fillId="0" borderId="0" xfId="0" applyFont="1" applyBorder="1" applyAlignment="1">
      <alignment horizontal="left"/>
    </xf>
    <xf numFmtId="0" fontId="3" fillId="0" borderId="4" xfId="0" applyFont="1" applyBorder="1" applyAlignment="1">
      <alignment vertical="top"/>
    </xf>
    <xf numFmtId="0" fontId="3" fillId="0" borderId="40" xfId="0" applyFont="1" applyBorder="1" applyAlignment="1"/>
    <xf numFmtId="0" fontId="3" fillId="0" borderId="38" xfId="0" applyFont="1" applyBorder="1" applyAlignment="1">
      <alignment horizontal="left"/>
    </xf>
    <xf numFmtId="0" fontId="3" fillId="3" borderId="38" xfId="0" applyFont="1" applyFill="1" applyBorder="1"/>
    <xf numFmtId="0" fontId="3" fillId="3" borderId="0" xfId="0" applyFont="1" applyFill="1" applyBorder="1" applyAlignment="1">
      <alignment horizontal="left"/>
    </xf>
    <xf numFmtId="3" fontId="5" fillId="4" borderId="48" xfId="0" applyNumberFormat="1" applyFont="1" applyFill="1" applyBorder="1" applyAlignment="1">
      <alignment horizontal="right"/>
    </xf>
    <xf numFmtId="0" fontId="37" fillId="0" borderId="2" xfId="0" applyFont="1" applyBorder="1"/>
    <xf numFmtId="0" fontId="38" fillId="4" borderId="6" xfId="0" applyFont="1" applyFill="1" applyBorder="1" applyAlignment="1">
      <alignment horizontal="center"/>
    </xf>
    <xf numFmtId="164" fontId="3" fillId="5" borderId="38" xfId="3" applyNumberFormat="1" applyFont="1" applyFill="1" applyBorder="1" applyAlignment="1"/>
    <xf numFmtId="164" fontId="3" fillId="5" borderId="43" xfId="3" applyNumberFormat="1" applyFont="1" applyFill="1" applyBorder="1" applyAlignment="1"/>
    <xf numFmtId="1" fontId="27" fillId="5" borderId="3" xfId="0" applyNumberFormat="1" applyFont="1" applyFill="1" applyBorder="1" applyAlignment="1">
      <alignment horizontal="center"/>
    </xf>
    <xf numFmtId="164" fontId="7" fillId="19" borderId="49" xfId="3" applyNumberFormat="1" applyFont="1" applyFill="1" applyBorder="1" applyAlignment="1"/>
    <xf numFmtId="10" fontId="7" fillId="19" borderId="3" xfId="0" applyNumberFormat="1" applyFont="1" applyFill="1" applyBorder="1" applyAlignment="1">
      <alignment horizontal="center"/>
    </xf>
    <xf numFmtId="3" fontId="28" fillId="4" borderId="3" xfId="0" applyNumberFormat="1" applyFont="1" applyFill="1" applyBorder="1" applyAlignment="1">
      <alignment horizontal="center"/>
    </xf>
    <xf numFmtId="3" fontId="38" fillId="4" borderId="4" xfId="0" applyNumberFormat="1" applyFont="1" applyFill="1" applyBorder="1" applyAlignment="1">
      <alignment horizontal="center"/>
    </xf>
    <xf numFmtId="1" fontId="27" fillId="5" borderId="41" xfId="0" applyNumberFormat="1" applyFont="1" applyFill="1" applyBorder="1" applyAlignment="1">
      <alignment horizontal="center"/>
    </xf>
    <xf numFmtId="3" fontId="38" fillId="4" borderId="39" xfId="0" applyNumberFormat="1" applyFont="1" applyFill="1" applyBorder="1" applyAlignment="1">
      <alignment horizontal="center"/>
    </xf>
    <xf numFmtId="1" fontId="27" fillId="19" borderId="6" xfId="0" applyNumberFormat="1" applyFont="1" applyFill="1" applyBorder="1" applyAlignment="1">
      <alignment horizontal="center"/>
    </xf>
    <xf numFmtId="165" fontId="27" fillId="19" borderId="6" xfId="2" applyNumberFormat="1" applyFont="1" applyFill="1" applyBorder="1" applyAlignment="1">
      <alignment horizontal="center"/>
    </xf>
    <xf numFmtId="44" fontId="27" fillId="5" borderId="3" xfId="1" applyFont="1" applyFill="1" applyBorder="1" applyAlignment="1">
      <alignment horizontal="center"/>
    </xf>
    <xf numFmtId="44" fontId="27" fillId="5" borderId="41" xfId="1" applyFont="1" applyFill="1" applyBorder="1" applyAlignment="1">
      <alignment horizontal="center"/>
    </xf>
    <xf numFmtId="44" fontId="27" fillId="19" borderId="6" xfId="1" applyFont="1" applyFill="1" applyBorder="1" applyAlignment="1">
      <alignment horizontal="center"/>
    </xf>
    <xf numFmtId="1" fontId="3" fillId="22" borderId="29" xfId="0" applyNumberFormat="1" applyFont="1" applyFill="1" applyBorder="1" applyAlignment="1">
      <alignment horizontal="center"/>
    </xf>
    <xf numFmtId="164" fontId="3" fillId="22" borderId="29" xfId="3" applyNumberFormat="1" applyFont="1" applyFill="1" applyBorder="1" applyAlignment="1">
      <alignment horizontal="center"/>
    </xf>
    <xf numFmtId="164" fontId="3" fillId="22" borderId="8" xfId="3" applyNumberFormat="1" applyFont="1" applyFill="1" applyBorder="1"/>
    <xf numFmtId="0" fontId="22" fillId="0" borderId="0" xfId="4" applyFont="1" applyFill="1" applyBorder="1" applyAlignment="1">
      <alignment horizontal="right"/>
    </xf>
    <xf numFmtId="0" fontId="22" fillId="0" borderId="0" xfId="4" applyFont="1" applyBorder="1" applyAlignment="1">
      <alignment horizontal="right"/>
    </xf>
    <xf numFmtId="0" fontId="17" fillId="0" borderId="0" xfId="4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26" fillId="4" borderId="22" xfId="0" applyFont="1" applyFill="1" applyBorder="1" applyAlignment="1">
      <alignment horizontal="center"/>
    </xf>
    <xf numFmtId="44" fontId="3" fillId="5" borderId="41" xfId="1" applyFont="1" applyFill="1" applyBorder="1" applyAlignment="1">
      <alignment horizontal="center"/>
    </xf>
    <xf numFmtId="44" fontId="3" fillId="5" borderId="46" xfId="1" applyFont="1" applyFill="1" applyBorder="1" applyAlignment="1">
      <alignment horizontal="center"/>
    </xf>
    <xf numFmtId="44" fontId="3" fillId="5" borderId="23" xfId="1" applyFont="1" applyFill="1" applyBorder="1" applyAlignment="1">
      <alignment horizontal="center"/>
    </xf>
    <xf numFmtId="44" fontId="3" fillId="5" borderId="47" xfId="1" applyFont="1" applyFill="1" applyBorder="1" applyAlignment="1">
      <alignment horizontal="center"/>
    </xf>
    <xf numFmtId="164" fontId="7" fillId="19" borderId="49" xfId="3" applyNumberFormat="1" applyFont="1" applyFill="1" applyBorder="1" applyAlignment="1">
      <alignment horizontal="center"/>
    </xf>
    <xf numFmtId="164" fontId="7" fillId="19" borderId="50" xfId="3" applyNumberFormat="1" applyFont="1" applyFill="1" applyBorder="1" applyAlignment="1">
      <alignment horizontal="center"/>
    </xf>
    <xf numFmtId="44" fontId="32" fillId="23" borderId="0" xfId="1" applyFont="1" applyFill="1" applyBorder="1" applyAlignment="1">
      <alignment horizontal="center"/>
    </xf>
    <xf numFmtId="0" fontId="34" fillId="4" borderId="24" xfId="0" applyFont="1" applyFill="1" applyBorder="1" applyAlignment="1">
      <alignment horizontal="right"/>
    </xf>
    <xf numFmtId="0" fontId="34" fillId="4" borderId="25" xfId="0" applyFont="1" applyFill="1" applyBorder="1" applyAlignment="1">
      <alignment horizontal="right"/>
    </xf>
    <xf numFmtId="44" fontId="35" fillId="19" borderId="7" xfId="0" applyNumberFormat="1" applyFont="1" applyFill="1" applyBorder="1" applyAlignment="1">
      <alignment horizontal="center"/>
    </xf>
    <xf numFmtId="44" fontId="35" fillId="19" borderId="22" xfId="0" applyNumberFormat="1" applyFont="1" applyFill="1" applyBorder="1" applyAlignment="1">
      <alignment horizontal="center"/>
    </xf>
    <xf numFmtId="44" fontId="27" fillId="5" borderId="7" xfId="3" applyFont="1" applyFill="1" applyBorder="1" applyAlignment="1">
      <alignment horizontal="center"/>
    </xf>
    <xf numFmtId="44" fontId="27" fillId="5" borderId="22" xfId="3" applyFont="1" applyFill="1" applyBorder="1" applyAlignment="1">
      <alignment horizontal="center"/>
    </xf>
    <xf numFmtId="44" fontId="36" fillId="19" borderId="15" xfId="0" applyNumberFormat="1" applyFont="1" applyFill="1" applyBorder="1" applyAlignment="1">
      <alignment horizontal="center"/>
    </xf>
    <xf numFmtId="44" fontId="32" fillId="23" borderId="25" xfId="1" applyFont="1" applyFill="1" applyBorder="1" applyAlignment="1">
      <alignment horizontal="center"/>
    </xf>
    <xf numFmtId="44" fontId="27" fillId="5" borderId="1" xfId="3" applyFont="1" applyFill="1" applyBorder="1" applyAlignment="1">
      <alignment horizontal="center"/>
    </xf>
    <xf numFmtId="44" fontId="27" fillId="5" borderId="44" xfId="3" applyFont="1" applyFill="1" applyBorder="1" applyAlignment="1">
      <alignment horizontal="center"/>
    </xf>
    <xf numFmtId="44" fontId="27" fillId="5" borderId="43" xfId="3" applyFont="1" applyFill="1" applyBorder="1" applyAlignment="1">
      <alignment horizontal="center"/>
    </xf>
    <xf numFmtId="44" fontId="27" fillId="5" borderId="45" xfId="3" applyFont="1" applyFill="1" applyBorder="1" applyAlignment="1">
      <alignment horizontal="center"/>
    </xf>
    <xf numFmtId="0" fontId="38" fillId="4" borderId="7" xfId="0" applyFont="1" applyFill="1" applyBorder="1" applyAlignment="1">
      <alignment horizontal="right"/>
    </xf>
    <xf numFmtId="0" fontId="38" fillId="4" borderId="21" xfId="0" applyFont="1" applyFill="1" applyBorder="1" applyAlignment="1">
      <alignment horizontal="right"/>
    </xf>
    <xf numFmtId="44" fontId="22" fillId="19" borderId="7" xfId="1" applyFont="1" applyFill="1" applyBorder="1" applyAlignment="1">
      <alignment horizontal="center"/>
    </xf>
    <xf numFmtId="44" fontId="22" fillId="19" borderId="22" xfId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44" fontId="40" fillId="23" borderId="41" xfId="1" applyFont="1" applyFill="1" applyBorder="1" applyAlignment="1">
      <alignment horizontal="center"/>
    </xf>
    <xf numFmtId="44" fontId="40" fillId="23" borderId="46" xfId="1" applyFont="1" applyFill="1" applyBorder="1" applyAlignment="1">
      <alignment horizontal="center"/>
    </xf>
    <xf numFmtId="44" fontId="40" fillId="23" borderId="53" xfId="1" applyFont="1" applyFill="1" applyBorder="1" applyAlignment="1">
      <alignment horizontal="center"/>
    </xf>
    <xf numFmtId="44" fontId="40" fillId="23" borderId="54" xfId="1" applyFont="1" applyFill="1" applyBorder="1" applyAlignment="1">
      <alignment horizontal="center"/>
    </xf>
    <xf numFmtId="44" fontId="40" fillId="19" borderId="52" xfId="1" applyFont="1" applyFill="1" applyBorder="1" applyAlignment="1">
      <alignment horizontal="center"/>
    </xf>
    <xf numFmtId="0" fontId="26" fillId="4" borderId="21" xfId="0" applyFont="1" applyFill="1" applyBorder="1" applyAlignment="1">
      <alignment horizontal="center"/>
    </xf>
    <xf numFmtId="0" fontId="34" fillId="4" borderId="24" xfId="0" applyFont="1" applyFill="1" applyBorder="1" applyAlignment="1">
      <alignment horizontal="center"/>
    </xf>
    <xf numFmtId="0" fontId="34" fillId="4" borderId="25" xfId="0" applyFont="1" applyFill="1" applyBorder="1" applyAlignment="1">
      <alignment horizontal="center"/>
    </xf>
    <xf numFmtId="44" fontId="27" fillId="23" borderId="7" xfId="3" applyFont="1" applyFill="1" applyBorder="1" applyAlignment="1">
      <alignment horizontal="center"/>
    </xf>
    <xf numFmtId="44" fontId="27" fillId="23" borderId="22" xfId="3" applyFont="1" applyFill="1" applyBorder="1" applyAlignment="1">
      <alignment horizontal="center"/>
    </xf>
    <xf numFmtId="0" fontId="40" fillId="25" borderId="41" xfId="0" applyFont="1" applyFill="1" applyBorder="1" applyAlignment="1">
      <alignment horizontal="center"/>
    </xf>
    <xf numFmtId="0" fontId="40" fillId="25" borderId="1" xfId="0" applyFont="1" applyFill="1" applyBorder="1" applyAlignment="1">
      <alignment horizontal="center"/>
    </xf>
    <xf numFmtId="0" fontId="40" fillId="25" borderId="23" xfId="0" applyFont="1" applyFill="1" applyBorder="1" applyAlignment="1">
      <alignment horizontal="center"/>
    </xf>
    <xf numFmtId="0" fontId="40" fillId="25" borderId="43" xfId="0" applyFont="1" applyFill="1" applyBorder="1" applyAlignment="1">
      <alignment horizontal="center"/>
    </xf>
    <xf numFmtId="44" fontId="33" fillId="19" borderId="15" xfId="0" applyNumberFormat="1" applyFont="1" applyFill="1" applyBorder="1" applyAlignment="1">
      <alignment horizontal="center"/>
    </xf>
    <xf numFmtId="0" fontId="34" fillId="4" borderId="7" xfId="0" applyFont="1" applyFill="1" applyBorder="1" applyAlignment="1">
      <alignment horizontal="right"/>
    </xf>
    <xf numFmtId="0" fontId="34" fillId="4" borderId="21" xfId="0" applyFont="1" applyFill="1" applyBorder="1" applyAlignment="1">
      <alignment horizontal="right"/>
    </xf>
    <xf numFmtId="169" fontId="22" fillId="19" borderId="7" xfId="0" applyNumberFormat="1" applyFont="1" applyFill="1" applyBorder="1" applyAlignment="1">
      <alignment horizontal="center"/>
    </xf>
    <xf numFmtId="169" fontId="22" fillId="19" borderId="22" xfId="0" applyNumberFormat="1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44" fontId="40" fillId="23" borderId="40" xfId="1" applyFont="1" applyFill="1" applyBorder="1" applyAlignment="1">
      <alignment horizontal="center"/>
    </xf>
    <xf numFmtId="44" fontId="40" fillId="23" borderId="38" xfId="1" applyFont="1" applyFill="1" applyBorder="1" applyAlignment="1">
      <alignment horizontal="center"/>
    </xf>
    <xf numFmtId="0" fontId="39" fillId="4" borderId="24" xfId="0" applyFont="1" applyFill="1" applyBorder="1" applyAlignment="1">
      <alignment horizontal="center"/>
    </xf>
    <xf numFmtId="0" fontId="39" fillId="4" borderId="25" xfId="0" applyFont="1" applyFill="1" applyBorder="1" applyAlignment="1">
      <alignment horizontal="center"/>
    </xf>
    <xf numFmtId="0" fontId="39" fillId="4" borderId="26" xfId="0" applyFont="1" applyFill="1" applyBorder="1" applyAlignment="1">
      <alignment horizontal="center"/>
    </xf>
    <xf numFmtId="165" fontId="40" fillId="19" borderId="40" xfId="2" applyNumberFormat="1" applyFont="1" applyFill="1" applyBorder="1" applyAlignment="1">
      <alignment horizontal="center"/>
    </xf>
    <xf numFmtId="165" fontId="40" fillId="19" borderId="51" xfId="2" applyNumberFormat="1" applyFont="1" applyFill="1" applyBorder="1" applyAlignment="1">
      <alignment horizontal="center"/>
    </xf>
    <xf numFmtId="165" fontId="40" fillId="19" borderId="41" xfId="2" applyNumberFormat="1" applyFont="1" applyFill="1" applyBorder="1" applyAlignment="1">
      <alignment horizontal="center"/>
    </xf>
    <xf numFmtId="165" fontId="40" fillId="19" borderId="46" xfId="2" applyNumberFormat="1" applyFont="1" applyFill="1" applyBorder="1" applyAlignment="1">
      <alignment horizontal="center"/>
    </xf>
    <xf numFmtId="0" fontId="11" fillId="4" borderId="27" xfId="0" applyFont="1" applyFill="1" applyBorder="1" applyAlignment="1">
      <alignment horizontal="center"/>
    </xf>
    <xf numFmtId="0" fontId="40" fillId="25" borderId="40" xfId="0" applyFont="1" applyFill="1" applyBorder="1" applyAlignment="1">
      <alignment horizontal="center"/>
    </xf>
    <xf numFmtId="0" fontId="40" fillId="25" borderId="38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165" fontId="40" fillId="19" borderId="53" xfId="2" applyNumberFormat="1" applyFont="1" applyFill="1" applyBorder="1" applyAlignment="1">
      <alignment horizontal="center"/>
    </xf>
    <xf numFmtId="165" fontId="40" fillId="19" borderId="54" xfId="2" applyNumberFormat="1" applyFont="1" applyFill="1" applyBorder="1" applyAlignment="1">
      <alignment horizontal="center"/>
    </xf>
    <xf numFmtId="165" fontId="40" fillId="19" borderId="55" xfId="2" applyNumberFormat="1" applyFont="1" applyFill="1" applyBorder="1" applyAlignment="1">
      <alignment horizontal="center"/>
    </xf>
    <xf numFmtId="165" fontId="40" fillId="19" borderId="56" xfId="2" applyNumberFormat="1" applyFont="1" applyFill="1" applyBorder="1" applyAlignment="1">
      <alignment horizontal="center"/>
    </xf>
    <xf numFmtId="0" fontId="34" fillId="4" borderId="57" xfId="0" applyFont="1" applyFill="1" applyBorder="1" applyAlignment="1">
      <alignment horizontal="center"/>
    </xf>
    <xf numFmtId="0" fontId="34" fillId="4" borderId="43" xfId="0" applyFont="1" applyFill="1" applyBorder="1" applyAlignment="1">
      <alignment horizontal="center"/>
    </xf>
    <xf numFmtId="0" fontId="34" fillId="4" borderId="47" xfId="0" applyFont="1" applyFill="1" applyBorder="1" applyAlignment="1">
      <alignment horizontal="center"/>
    </xf>
    <xf numFmtId="3" fontId="28" fillId="4" borderId="58" xfId="0" applyNumberFormat="1" applyFont="1" applyFill="1" applyBorder="1" applyAlignment="1">
      <alignment horizontal="center"/>
    </xf>
    <xf numFmtId="3" fontId="28" fillId="4" borderId="54" xfId="0" applyNumberFormat="1" applyFont="1" applyFill="1" applyBorder="1" applyAlignment="1">
      <alignment horizontal="center"/>
    </xf>
    <xf numFmtId="44" fontId="27" fillId="5" borderId="7" xfId="1" applyFont="1" applyFill="1" applyBorder="1" applyAlignment="1">
      <alignment horizontal="center"/>
    </xf>
    <xf numFmtId="44" fontId="27" fillId="5" borderId="22" xfId="1" applyFont="1" applyFill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19" fillId="0" borderId="0" xfId="4" applyFont="1" applyBorder="1" applyAlignment="1">
      <alignment horizontal="center"/>
    </xf>
    <xf numFmtId="15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1" fontId="27" fillId="5" borderId="7" xfId="0" applyNumberFormat="1" applyFont="1" applyFill="1" applyBorder="1" applyAlignment="1">
      <alignment horizontal="center"/>
    </xf>
    <xf numFmtId="1" fontId="27" fillId="5" borderId="22" xfId="0" applyNumberFormat="1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8" fillId="4" borderId="7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</cellXfs>
  <cellStyles count="5">
    <cellStyle name="Currency" xfId="1" builtinId="4"/>
    <cellStyle name="Currency 2" xfId="3" xr:uid="{06A4C669-4AE6-4936-BC1E-5B80E9D222A8}"/>
    <cellStyle name="Normal" xfId="0" builtinId="0"/>
    <cellStyle name="Normal 2" xfId="4" xr:uid="{824D3CEA-4DBE-4B03-B687-BC9286196C93}"/>
    <cellStyle name="Percent" xfId="2" builtinId="5"/>
  </cellStyles>
  <dxfs count="0"/>
  <tableStyles count="0" defaultTableStyle="TableStyleMedium2" defaultPivotStyle="PivotStyleLight16"/>
  <colors>
    <mruColors>
      <color rgb="FFFFCCFF"/>
      <color rgb="FFFF99CC"/>
      <color rgb="FFCCFFCC"/>
      <color rgb="FF99FFCC"/>
      <color rgb="FF66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ACC2-7E08-44E0-8358-E73245785DBC}">
  <dimension ref="A1:I56"/>
  <sheetViews>
    <sheetView topLeftCell="A41" zoomScale="115" zoomScaleNormal="115" workbookViewId="0">
      <selection activeCell="I37" sqref="I37"/>
    </sheetView>
  </sheetViews>
  <sheetFormatPr defaultRowHeight="14.5" x14ac:dyDescent="0.35"/>
  <cols>
    <col min="1" max="1" width="1.26953125" customWidth="1"/>
    <col min="2" max="2" width="26.7265625" customWidth="1"/>
    <col min="3" max="3" width="21.26953125" customWidth="1"/>
    <col min="4" max="4" width="29.7265625" customWidth="1"/>
    <col min="5" max="5" width="1.26953125" customWidth="1"/>
    <col min="6" max="6" width="14.7265625" customWidth="1"/>
    <col min="7" max="7" width="16.54296875" customWidth="1"/>
    <col min="8" max="8" width="1.81640625" customWidth="1"/>
    <col min="9" max="9" width="8.54296875" customWidth="1"/>
  </cols>
  <sheetData>
    <row r="1" spans="1:9" ht="30" x14ac:dyDescent="0.6">
      <c r="A1" s="26"/>
      <c r="B1" s="189" t="s">
        <v>79</v>
      </c>
      <c r="C1" s="189"/>
      <c r="D1" s="189"/>
      <c r="E1" s="189"/>
      <c r="F1" s="189"/>
      <c r="G1" s="189"/>
      <c r="H1" s="27"/>
      <c r="I1" s="26"/>
    </row>
    <row r="2" spans="1:9" ht="11.25" customHeight="1" x14ac:dyDescent="0.35"/>
    <row r="3" spans="1:9" ht="30" x14ac:dyDescent="0.6">
      <c r="A3" s="28"/>
      <c r="B3" s="190" t="s">
        <v>46</v>
      </c>
      <c r="C3" s="190"/>
      <c r="D3" s="190"/>
      <c r="E3" s="190"/>
      <c r="F3" s="190"/>
      <c r="G3" s="190"/>
      <c r="H3" s="29"/>
      <c r="I3" s="28"/>
    </row>
    <row r="4" spans="1:9" ht="9" customHeight="1" thickBot="1" x14ac:dyDescent="0.65">
      <c r="A4" s="28"/>
      <c r="B4" s="30"/>
      <c r="C4" s="30"/>
      <c r="D4" s="30"/>
      <c r="E4" s="30"/>
      <c r="F4" s="30"/>
      <c r="G4" s="30"/>
      <c r="H4" s="29"/>
      <c r="I4" s="28"/>
    </row>
    <row r="5" spans="1:9" ht="15.5" thickTop="1" thickBot="1" x14ac:dyDescent="0.4">
      <c r="A5" s="31"/>
      <c r="B5" s="32" t="s">
        <v>47</v>
      </c>
      <c r="C5" s="32"/>
      <c r="D5" s="32"/>
      <c r="E5" s="32"/>
      <c r="F5" s="32"/>
      <c r="G5" s="32"/>
      <c r="H5" s="33"/>
      <c r="I5" s="28"/>
    </row>
    <row r="6" spans="1:9" ht="16" thickBot="1" x14ac:dyDescent="0.4">
      <c r="A6" s="34"/>
      <c r="B6" s="35" t="s">
        <v>48</v>
      </c>
      <c r="C6" s="35"/>
      <c r="D6" s="36">
        <v>43169</v>
      </c>
      <c r="E6" s="37"/>
      <c r="F6" s="38"/>
      <c r="G6" s="38"/>
      <c r="H6" s="39"/>
      <c r="I6" s="28"/>
    </row>
    <row r="7" spans="1:9" ht="15.5" x14ac:dyDescent="0.35">
      <c r="A7" s="34"/>
      <c r="B7" s="38"/>
      <c r="C7" s="38"/>
      <c r="D7" s="38"/>
      <c r="E7" s="37"/>
      <c r="F7" s="38"/>
      <c r="G7" s="38"/>
      <c r="H7" s="39"/>
      <c r="I7" s="28"/>
    </row>
    <row r="8" spans="1:9" ht="15.5" x14ac:dyDescent="0.35">
      <c r="A8" s="34"/>
      <c r="B8" s="37" t="s">
        <v>49</v>
      </c>
      <c r="C8" s="37"/>
      <c r="D8" s="37" t="s">
        <v>50</v>
      </c>
      <c r="E8" s="37"/>
      <c r="F8" s="37" t="s">
        <v>51</v>
      </c>
      <c r="G8" s="37" t="s">
        <v>52</v>
      </c>
      <c r="H8" s="40"/>
      <c r="I8" s="28"/>
    </row>
    <row r="9" spans="1:9" ht="15.5" x14ac:dyDescent="0.35">
      <c r="A9" s="34"/>
      <c r="B9" s="41" t="s">
        <v>53</v>
      </c>
      <c r="C9" s="42"/>
      <c r="D9" s="35" t="s">
        <v>133</v>
      </c>
      <c r="E9" s="35"/>
      <c r="F9" s="43">
        <v>1925485.1</v>
      </c>
      <c r="G9" s="44"/>
      <c r="H9" s="45"/>
      <c r="I9" s="28"/>
    </row>
    <row r="10" spans="1:9" ht="15.5" x14ac:dyDescent="0.35">
      <c r="A10" s="34"/>
      <c r="B10" s="41"/>
      <c r="C10" s="42"/>
      <c r="D10" s="35" t="s">
        <v>134</v>
      </c>
      <c r="E10" s="35"/>
      <c r="F10" s="46">
        <v>1223826.3899999999</v>
      </c>
      <c r="G10" s="44"/>
      <c r="H10" s="45"/>
      <c r="I10" s="28"/>
    </row>
    <row r="11" spans="1:9" ht="15.5" x14ac:dyDescent="0.35">
      <c r="A11" s="34"/>
      <c r="B11" s="41"/>
      <c r="C11" s="42"/>
      <c r="D11" s="35" t="s">
        <v>135</v>
      </c>
      <c r="E11" s="35"/>
      <c r="F11" s="46">
        <v>200</v>
      </c>
      <c r="G11" s="44"/>
      <c r="H11" s="45"/>
      <c r="I11" s="28"/>
    </row>
    <row r="12" spans="1:9" ht="15.5" x14ac:dyDescent="0.35">
      <c r="A12" s="34"/>
      <c r="B12" s="41"/>
      <c r="C12" s="42"/>
      <c r="D12" s="35" t="s">
        <v>136</v>
      </c>
      <c r="E12" s="35"/>
      <c r="F12" s="46">
        <v>5</v>
      </c>
      <c r="G12" s="44"/>
      <c r="H12" s="45"/>
      <c r="I12" s="28"/>
    </row>
    <row r="13" spans="1:9" ht="15.5" x14ac:dyDescent="0.35">
      <c r="A13" s="34"/>
      <c r="B13" s="41"/>
      <c r="C13" s="42"/>
      <c r="D13" s="35" t="s">
        <v>137</v>
      </c>
      <c r="E13" s="35"/>
      <c r="F13" s="46">
        <v>59097.69</v>
      </c>
      <c r="G13" s="44"/>
      <c r="H13" s="45"/>
      <c r="I13" s="28"/>
    </row>
    <row r="14" spans="1:9" ht="15.5" x14ac:dyDescent="0.35">
      <c r="A14" s="34"/>
      <c r="B14" s="41"/>
      <c r="C14" s="42"/>
      <c r="D14" s="35" t="s">
        <v>138</v>
      </c>
      <c r="E14" s="35"/>
      <c r="F14" s="46">
        <v>2877.93</v>
      </c>
      <c r="G14" s="44"/>
      <c r="H14" s="45"/>
      <c r="I14" s="28"/>
    </row>
    <row r="15" spans="1:9" ht="15.5" x14ac:dyDescent="0.35">
      <c r="A15" s="34"/>
      <c r="B15" s="41"/>
      <c r="C15" s="42"/>
      <c r="D15" s="35" t="s">
        <v>54</v>
      </c>
      <c r="E15" s="35"/>
      <c r="F15" s="46">
        <v>1053367</v>
      </c>
      <c r="G15" s="44"/>
      <c r="H15" s="45"/>
      <c r="I15" s="28"/>
    </row>
    <row r="16" spans="1:9" ht="15.5" x14ac:dyDescent="0.35">
      <c r="A16" s="34"/>
      <c r="B16" s="41"/>
      <c r="C16" s="42"/>
      <c r="D16" s="35" t="s">
        <v>55</v>
      </c>
      <c r="E16" s="35"/>
      <c r="F16" s="46">
        <v>1263093.1399999999</v>
      </c>
      <c r="G16" s="44"/>
      <c r="H16" s="45"/>
      <c r="I16" s="28"/>
    </row>
    <row r="17" spans="1:9" ht="16" thickBot="1" x14ac:dyDescent="0.4">
      <c r="A17" s="34"/>
      <c r="B17" s="41"/>
      <c r="C17" s="42"/>
      <c r="D17" s="35" t="s">
        <v>56</v>
      </c>
      <c r="E17" s="35"/>
      <c r="F17" s="47">
        <v>0</v>
      </c>
      <c r="G17" s="44"/>
      <c r="H17" s="45"/>
      <c r="I17" s="28"/>
    </row>
    <row r="18" spans="1:9" ht="16" thickBot="1" x14ac:dyDescent="0.4">
      <c r="A18" s="34"/>
      <c r="B18" s="41"/>
      <c r="C18" s="42"/>
      <c r="D18" s="35" t="s">
        <v>57</v>
      </c>
      <c r="E18" s="35"/>
      <c r="F18" s="44"/>
      <c r="G18" s="48">
        <f>F9+F10+F11+F12+F13+F14+F15-F16+F17</f>
        <v>3001765.9700000007</v>
      </c>
      <c r="H18" s="49"/>
      <c r="I18" s="28"/>
    </row>
    <row r="19" spans="1:9" ht="15.5" x14ac:dyDescent="0.35">
      <c r="A19" s="34"/>
      <c r="B19" s="50"/>
      <c r="C19" s="42"/>
      <c r="D19" s="51"/>
      <c r="E19" s="51"/>
      <c r="F19" s="44"/>
      <c r="G19" s="44"/>
      <c r="H19" s="45"/>
      <c r="I19" s="28"/>
    </row>
    <row r="20" spans="1:9" ht="15.5" x14ac:dyDescent="0.35">
      <c r="A20" s="34"/>
      <c r="B20" s="52" t="s">
        <v>58</v>
      </c>
      <c r="C20" s="42"/>
      <c r="D20" s="35" t="s">
        <v>140</v>
      </c>
      <c r="E20" s="53"/>
      <c r="F20" s="54">
        <v>984125</v>
      </c>
      <c r="G20" s="44"/>
      <c r="H20" s="45"/>
      <c r="I20" s="28"/>
    </row>
    <row r="21" spans="1:9" ht="15.5" x14ac:dyDescent="0.35">
      <c r="A21" s="34"/>
      <c r="B21" s="52"/>
      <c r="C21" s="42"/>
      <c r="D21" s="35" t="s">
        <v>141</v>
      </c>
      <c r="E21" s="53"/>
      <c r="F21" s="54">
        <v>4298</v>
      </c>
      <c r="G21" s="44"/>
      <c r="H21" s="45"/>
      <c r="I21" s="28"/>
    </row>
    <row r="22" spans="1:9" ht="15.5" x14ac:dyDescent="0.35">
      <c r="A22" s="34"/>
      <c r="B22" s="52"/>
      <c r="C22" s="42"/>
      <c r="D22" s="35" t="s">
        <v>142</v>
      </c>
      <c r="E22" s="53"/>
      <c r="F22" s="54">
        <v>15744</v>
      </c>
      <c r="G22" s="44"/>
      <c r="H22" s="45"/>
      <c r="I22" s="28"/>
    </row>
    <row r="23" spans="1:9" ht="15.5" x14ac:dyDescent="0.35">
      <c r="A23" s="34"/>
      <c r="B23" s="52"/>
      <c r="C23" s="42"/>
      <c r="D23" s="188" t="s">
        <v>143</v>
      </c>
      <c r="E23" s="53"/>
      <c r="F23" s="54">
        <v>49200</v>
      </c>
      <c r="G23" s="44"/>
      <c r="H23" s="45"/>
      <c r="I23" s="28"/>
    </row>
    <row r="24" spans="1:9" ht="15.5" x14ac:dyDescent="0.35">
      <c r="A24" s="34"/>
      <c r="B24" s="52"/>
      <c r="C24" s="42"/>
      <c r="D24" s="35" t="s">
        <v>59</v>
      </c>
      <c r="E24" s="53"/>
      <c r="F24" s="54">
        <v>0</v>
      </c>
      <c r="G24" s="44"/>
      <c r="H24" s="45"/>
      <c r="I24" s="28"/>
    </row>
    <row r="25" spans="1:9" ht="15.5" x14ac:dyDescent="0.35">
      <c r="A25" s="34"/>
      <c r="B25" s="52"/>
      <c r="C25" s="42"/>
      <c r="D25" s="35" t="s">
        <v>60</v>
      </c>
      <c r="E25" s="53"/>
      <c r="F25" s="54">
        <v>0</v>
      </c>
      <c r="G25" s="44"/>
      <c r="H25" s="45"/>
      <c r="I25" s="28"/>
    </row>
    <row r="26" spans="1:9" ht="15.5" x14ac:dyDescent="0.35">
      <c r="A26" s="34"/>
      <c r="B26" s="52"/>
      <c r="C26" s="42"/>
      <c r="D26" s="35" t="s">
        <v>61</v>
      </c>
      <c r="E26" s="53"/>
      <c r="F26" s="54">
        <v>0</v>
      </c>
      <c r="G26" s="44"/>
      <c r="H26" s="45"/>
      <c r="I26" s="28"/>
    </row>
    <row r="27" spans="1:9" ht="16" thickBot="1" x14ac:dyDescent="0.4">
      <c r="A27" s="34"/>
      <c r="B27" s="52"/>
      <c r="C27" s="42"/>
      <c r="D27" s="35" t="s">
        <v>62</v>
      </c>
      <c r="E27" s="53"/>
      <c r="F27" s="55">
        <v>0</v>
      </c>
      <c r="G27" s="44"/>
      <c r="H27" s="45"/>
      <c r="I27" s="28"/>
    </row>
    <row r="28" spans="1:9" ht="16" thickBot="1" x14ac:dyDescent="0.4">
      <c r="A28" s="34"/>
      <c r="B28" s="52"/>
      <c r="C28" s="42"/>
      <c r="D28" s="35" t="s">
        <v>63</v>
      </c>
      <c r="E28" s="35"/>
      <c r="F28" s="44"/>
      <c r="G28" s="56">
        <f>SUM(F20:F27)</f>
        <v>1053367</v>
      </c>
      <c r="H28" s="49"/>
      <c r="I28" s="57" t="str">
        <f>IF(G28=F15,"OK","ERROR")</f>
        <v>OK</v>
      </c>
    </row>
    <row r="29" spans="1:9" ht="15.5" x14ac:dyDescent="0.35">
      <c r="A29" s="34"/>
      <c r="B29" s="50"/>
      <c r="C29" s="42"/>
      <c r="D29" s="35"/>
      <c r="E29" s="35"/>
      <c r="F29" s="44"/>
      <c r="G29" s="44"/>
      <c r="H29" s="45"/>
      <c r="I29" s="28"/>
    </row>
    <row r="30" spans="1:9" ht="15.5" x14ac:dyDescent="0.35">
      <c r="A30" s="34"/>
      <c r="B30" s="58" t="s">
        <v>64</v>
      </c>
      <c r="C30" s="42"/>
      <c r="D30" s="59" t="s">
        <v>145</v>
      </c>
      <c r="E30" s="53"/>
      <c r="F30" s="60">
        <v>1260093.1399999999</v>
      </c>
      <c r="G30" s="61"/>
      <c r="H30" s="45"/>
      <c r="I30" s="28"/>
    </row>
    <row r="31" spans="1:9" ht="15.5" x14ac:dyDescent="0.35">
      <c r="A31" s="34"/>
      <c r="B31" s="58"/>
      <c r="C31" s="42"/>
      <c r="D31" s="59" t="s">
        <v>144</v>
      </c>
      <c r="E31" s="53"/>
      <c r="F31" s="60">
        <v>0</v>
      </c>
      <c r="G31" s="61"/>
      <c r="H31" s="45"/>
      <c r="I31" s="28"/>
    </row>
    <row r="32" spans="1:9" ht="15.5" x14ac:dyDescent="0.35">
      <c r="A32" s="34"/>
      <c r="B32" s="58"/>
      <c r="C32" s="42"/>
      <c r="D32" s="187" t="s">
        <v>204</v>
      </c>
      <c r="E32" s="53"/>
      <c r="F32" s="60">
        <v>3000</v>
      </c>
      <c r="G32" s="61"/>
      <c r="H32" s="45"/>
      <c r="I32" s="28"/>
    </row>
    <row r="33" spans="1:9" ht="15.5" x14ac:dyDescent="0.35">
      <c r="A33" s="34"/>
      <c r="B33" s="62"/>
      <c r="C33" s="42"/>
      <c r="D33" s="59" t="s">
        <v>65</v>
      </c>
      <c r="E33" s="53"/>
      <c r="F33" s="60">
        <v>0</v>
      </c>
      <c r="G33" s="61"/>
      <c r="H33" s="45"/>
      <c r="I33" s="28"/>
    </row>
    <row r="34" spans="1:9" ht="15.5" x14ac:dyDescent="0.35">
      <c r="A34" s="34"/>
      <c r="B34" s="58"/>
      <c r="C34" s="42"/>
      <c r="D34" s="59" t="s">
        <v>66</v>
      </c>
      <c r="E34" s="53"/>
      <c r="F34" s="60">
        <v>0</v>
      </c>
      <c r="G34" s="61"/>
      <c r="H34" s="45"/>
      <c r="I34" s="28"/>
    </row>
    <row r="35" spans="1:9" ht="15.5" x14ac:dyDescent="0.35">
      <c r="A35" s="34"/>
      <c r="B35" s="58"/>
      <c r="C35" s="42"/>
      <c r="D35" s="59" t="s">
        <v>67</v>
      </c>
      <c r="E35" s="53"/>
      <c r="F35" s="60">
        <v>0</v>
      </c>
      <c r="G35" s="61"/>
      <c r="H35" s="45"/>
      <c r="I35" s="28"/>
    </row>
    <row r="36" spans="1:9" ht="16" thickBot="1" x14ac:dyDescent="0.4">
      <c r="A36" s="34"/>
      <c r="B36" s="58"/>
      <c r="C36" s="42"/>
      <c r="D36" s="59" t="s">
        <v>68</v>
      </c>
      <c r="E36" s="53"/>
      <c r="F36" s="63">
        <v>0</v>
      </c>
      <c r="G36" s="61"/>
      <c r="H36" s="45"/>
      <c r="I36" s="28"/>
    </row>
    <row r="37" spans="1:9" ht="16" thickBot="1" x14ac:dyDescent="0.4">
      <c r="A37" s="34"/>
      <c r="B37" s="58"/>
      <c r="C37" s="42"/>
      <c r="D37" s="59" t="s">
        <v>69</v>
      </c>
      <c r="E37" s="59"/>
      <c r="F37" s="61"/>
      <c r="G37" s="64">
        <f>SUM(F30:F36)</f>
        <v>1263093.1399999999</v>
      </c>
      <c r="H37" s="49"/>
      <c r="I37" s="57" t="str">
        <f>IF(G37=F16,"OK","ERROR")</f>
        <v>OK</v>
      </c>
    </row>
    <row r="38" spans="1:9" ht="15.5" x14ac:dyDescent="0.35">
      <c r="A38" s="34"/>
      <c r="B38" s="50"/>
      <c r="C38" s="42"/>
      <c r="D38" s="59"/>
      <c r="E38" s="59"/>
      <c r="F38" s="61"/>
      <c r="G38" s="61"/>
      <c r="H38" s="45"/>
      <c r="I38" s="28"/>
    </row>
    <row r="39" spans="1:9" ht="15.5" x14ac:dyDescent="0.35">
      <c r="A39" s="34"/>
      <c r="B39" s="65" t="s">
        <v>70</v>
      </c>
      <c r="C39" s="42"/>
      <c r="D39" s="59" t="s">
        <v>147</v>
      </c>
      <c r="E39" s="53"/>
      <c r="F39" s="66">
        <v>2847347.66</v>
      </c>
      <c r="G39" s="61"/>
      <c r="H39" s="45"/>
      <c r="I39" s="28"/>
    </row>
    <row r="40" spans="1:9" ht="15.5" x14ac:dyDescent="0.35">
      <c r="A40" s="34"/>
      <c r="B40" s="67"/>
      <c r="C40" s="42"/>
      <c r="D40" s="59"/>
      <c r="E40" s="53"/>
      <c r="F40" s="66">
        <v>0</v>
      </c>
      <c r="G40" s="61"/>
      <c r="H40" s="45"/>
      <c r="I40" s="28"/>
    </row>
    <row r="41" spans="1:9" ht="15.5" x14ac:dyDescent="0.35">
      <c r="A41" s="34"/>
      <c r="B41" s="68"/>
      <c r="C41" s="42"/>
      <c r="D41" s="59"/>
      <c r="E41" s="53"/>
      <c r="F41" s="66">
        <v>0</v>
      </c>
      <c r="G41" s="61"/>
      <c r="H41" s="45"/>
      <c r="I41" s="28"/>
    </row>
    <row r="42" spans="1:9" ht="16" thickBot="1" x14ac:dyDescent="0.4">
      <c r="A42" s="34"/>
      <c r="B42" s="68"/>
      <c r="C42" s="42"/>
      <c r="D42" s="59" t="s">
        <v>71</v>
      </c>
      <c r="E42" s="53"/>
      <c r="F42" s="69">
        <v>0</v>
      </c>
      <c r="G42" s="61"/>
      <c r="H42" s="45"/>
      <c r="I42" s="28"/>
    </row>
    <row r="43" spans="1:9" ht="16" thickBot="1" x14ac:dyDescent="0.4">
      <c r="A43" s="34"/>
      <c r="B43" s="68"/>
      <c r="C43" s="42"/>
      <c r="D43" s="59" t="s">
        <v>57</v>
      </c>
      <c r="E43" s="59"/>
      <c r="F43" s="61"/>
      <c r="G43" s="70">
        <f>F39+F40+F41+F42</f>
        <v>2847347.66</v>
      </c>
      <c r="H43" s="49"/>
      <c r="I43" s="28"/>
    </row>
    <row r="44" spans="1:9" ht="15.5" x14ac:dyDescent="0.35">
      <c r="A44" s="34"/>
      <c r="B44" s="50"/>
      <c r="C44" s="42"/>
      <c r="D44" s="35"/>
      <c r="E44" s="35"/>
      <c r="F44" s="44"/>
      <c r="G44" s="44"/>
      <c r="H44" s="49"/>
      <c r="I44" s="28"/>
    </row>
    <row r="45" spans="1:9" ht="15.5" x14ac:dyDescent="0.35">
      <c r="A45" s="34"/>
      <c r="B45" s="71" t="s">
        <v>72</v>
      </c>
      <c r="C45" s="42"/>
      <c r="D45" s="59" t="s">
        <v>146</v>
      </c>
      <c r="E45" s="53"/>
      <c r="F45" s="72">
        <v>1402466.25</v>
      </c>
      <c r="G45" s="44"/>
      <c r="H45" s="49"/>
    </row>
    <row r="46" spans="1:9" ht="16" thickBot="1" x14ac:dyDescent="0.4">
      <c r="A46" s="34"/>
      <c r="B46" s="73"/>
      <c r="C46" s="42"/>
      <c r="D46" s="59"/>
      <c r="E46" s="53"/>
      <c r="F46" s="74"/>
      <c r="G46" s="44"/>
      <c r="H46" s="49"/>
    </row>
    <row r="47" spans="1:9" ht="16" thickBot="1" x14ac:dyDescent="0.4">
      <c r="A47" s="34"/>
      <c r="B47" s="71"/>
      <c r="C47" s="42"/>
      <c r="D47" s="35" t="s">
        <v>57</v>
      </c>
      <c r="E47" s="35"/>
      <c r="F47" s="44"/>
      <c r="G47" s="75">
        <f>F45+F46</f>
        <v>1402466.25</v>
      </c>
      <c r="H47" s="49"/>
    </row>
    <row r="48" spans="1:9" ht="15.5" x14ac:dyDescent="0.35">
      <c r="A48" s="34"/>
      <c r="B48" s="50"/>
      <c r="C48" s="42"/>
      <c r="D48" s="35"/>
      <c r="E48" s="35"/>
      <c r="F48" s="44"/>
      <c r="G48" s="44"/>
      <c r="H48" s="45"/>
    </row>
    <row r="49" spans="1:8" ht="15.5" x14ac:dyDescent="0.35">
      <c r="A49" s="34"/>
      <c r="B49" s="76" t="s">
        <v>73</v>
      </c>
      <c r="C49" s="42"/>
      <c r="D49" s="35" t="s">
        <v>74</v>
      </c>
      <c r="E49" s="35"/>
      <c r="F49" s="77">
        <f>G18</f>
        <v>3001765.9700000007</v>
      </c>
      <c r="G49" s="78" t="s">
        <v>75</v>
      </c>
      <c r="H49" s="45"/>
    </row>
    <row r="50" spans="1:8" ht="16" thickBot="1" x14ac:dyDescent="0.4">
      <c r="A50" s="34"/>
      <c r="B50" s="76"/>
      <c r="C50" s="42"/>
      <c r="D50" s="35" t="s">
        <v>139</v>
      </c>
      <c r="E50" s="35"/>
      <c r="F50" s="79">
        <v>1290670.82</v>
      </c>
      <c r="G50" s="78"/>
      <c r="H50" s="45"/>
    </row>
    <row r="51" spans="1:8" ht="16" thickBot="1" x14ac:dyDescent="0.4">
      <c r="A51" s="34"/>
      <c r="B51" s="76"/>
      <c r="C51" s="42"/>
      <c r="D51" s="35" t="s">
        <v>76</v>
      </c>
      <c r="E51" s="35"/>
      <c r="F51" s="77">
        <f>G43</f>
        <v>2847347.66</v>
      </c>
      <c r="G51" s="80">
        <f>F49+F50+F51</f>
        <v>7139784.4500000011</v>
      </c>
      <c r="H51" s="45"/>
    </row>
    <row r="52" spans="1:8" ht="16" thickBot="1" x14ac:dyDescent="0.4">
      <c r="A52" s="34"/>
      <c r="B52" s="76"/>
      <c r="C52" s="42"/>
      <c r="D52" s="35" t="s">
        <v>77</v>
      </c>
      <c r="E52" s="35"/>
      <c r="F52" s="81">
        <f>G47</f>
        <v>1402466.25</v>
      </c>
      <c r="G52" s="44"/>
      <c r="H52" s="45"/>
    </row>
    <row r="53" spans="1:8" ht="16" thickBot="1" x14ac:dyDescent="0.4">
      <c r="A53" s="34"/>
      <c r="B53" s="50"/>
      <c r="C53" s="50"/>
      <c r="D53" s="35"/>
      <c r="E53" s="35"/>
      <c r="F53" s="44"/>
      <c r="G53" s="44"/>
      <c r="H53" s="45"/>
    </row>
    <row r="54" spans="1:8" ht="24" thickTop="1" thickBot="1" x14ac:dyDescent="0.55000000000000004">
      <c r="A54" s="34"/>
      <c r="B54" s="50"/>
      <c r="C54" s="50"/>
      <c r="D54" s="82" t="s">
        <v>78</v>
      </c>
      <c r="E54" s="82"/>
      <c r="F54" s="44"/>
      <c r="G54" s="83">
        <f>(F49+F50+F51)-F52</f>
        <v>5737318.2000000011</v>
      </c>
      <c r="H54" s="84"/>
    </row>
    <row r="55" spans="1:8" ht="16.5" thickTop="1" thickBot="1" x14ac:dyDescent="0.4">
      <c r="A55" s="85"/>
      <c r="B55" s="86"/>
      <c r="C55" s="86"/>
      <c r="D55" s="87"/>
      <c r="E55" s="87"/>
      <c r="F55" s="88"/>
      <c r="G55" s="88"/>
      <c r="H55" s="89"/>
    </row>
    <row r="56" spans="1:8" ht="15" thickTop="1" x14ac:dyDescent="0.35"/>
  </sheetData>
  <mergeCells count="2">
    <mergeCell ref="B1:G1"/>
    <mergeCell ref="B3:G3"/>
  </mergeCells>
  <pageMargins left="0" right="0" top="0.25" bottom="0.2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116B-3DFC-423C-9830-133E7DAA5926}">
  <dimension ref="A1:K37"/>
  <sheetViews>
    <sheetView workbookViewId="0">
      <selection activeCell="C6" sqref="C6:D6"/>
    </sheetView>
  </sheetViews>
  <sheetFormatPr defaultRowHeight="14.5" x14ac:dyDescent="0.35"/>
  <cols>
    <col min="1" max="1" width="13.7265625" customWidth="1"/>
    <col min="2" max="2" width="12.26953125" customWidth="1"/>
    <col min="3" max="4" width="11.7265625" customWidth="1"/>
    <col min="6" max="6" width="0.54296875" customWidth="1"/>
    <col min="7" max="7" width="11.7265625" customWidth="1"/>
    <col min="8" max="8" width="11.54296875" customWidth="1"/>
    <col min="9" max="9" width="11.7265625" customWidth="1"/>
    <col min="10" max="10" width="9.7265625" customWidth="1"/>
  </cols>
  <sheetData>
    <row r="1" spans="1:11" ht="18" x14ac:dyDescent="0.4">
      <c r="A1" s="242" t="s">
        <v>205</v>
      </c>
      <c r="B1" s="243"/>
      <c r="C1" s="243"/>
      <c r="D1" s="243"/>
      <c r="E1" s="243"/>
      <c r="F1" s="244"/>
      <c r="G1" s="265" t="s">
        <v>48</v>
      </c>
      <c r="H1" s="266"/>
      <c r="I1" s="267" t="s">
        <v>201</v>
      </c>
      <c r="J1" s="268"/>
    </row>
    <row r="2" spans="1:11" ht="16" thickBot="1" x14ac:dyDescent="0.4">
      <c r="A2" s="249" t="s">
        <v>189</v>
      </c>
      <c r="B2" s="239"/>
      <c r="C2" s="239" t="s">
        <v>190</v>
      </c>
      <c r="D2" s="239"/>
      <c r="E2" s="252" t="s">
        <v>191</v>
      </c>
      <c r="F2" s="253"/>
      <c r="G2" s="258" t="s">
        <v>200</v>
      </c>
      <c r="H2" s="259"/>
      <c r="I2" s="259"/>
      <c r="J2" s="260"/>
      <c r="K2" s="22"/>
    </row>
    <row r="3" spans="1:11" ht="16" thickBot="1" x14ac:dyDescent="0.4">
      <c r="A3" s="250" t="s">
        <v>192</v>
      </c>
      <c r="B3" s="251"/>
      <c r="C3" s="240">
        <v>2249714.84</v>
      </c>
      <c r="D3" s="241"/>
      <c r="E3" s="245">
        <f>C3/$C$10</f>
        <v>0.26907521213029412</v>
      </c>
      <c r="F3" s="246"/>
      <c r="G3" s="175" t="s">
        <v>186</v>
      </c>
      <c r="H3" s="176" t="s">
        <v>156</v>
      </c>
      <c r="I3" s="178" t="s">
        <v>187</v>
      </c>
      <c r="J3" s="176" t="s">
        <v>188</v>
      </c>
      <c r="K3" s="22"/>
    </row>
    <row r="4" spans="1:11" ht="16" thickBot="1" x14ac:dyDescent="0.4">
      <c r="A4" s="228" t="s">
        <v>193</v>
      </c>
      <c r="B4" s="229"/>
      <c r="C4" s="218">
        <v>1372530.63</v>
      </c>
      <c r="D4" s="219"/>
      <c r="E4" s="247">
        <f>C4/$C$10</f>
        <v>0.16416034772770413</v>
      </c>
      <c r="F4" s="248"/>
      <c r="G4" s="172">
        <v>311</v>
      </c>
      <c r="H4" s="177">
        <v>388</v>
      </c>
      <c r="I4" s="179">
        <f>SUM(H4-G4)</f>
        <v>77</v>
      </c>
      <c r="J4" s="180">
        <f t="shared" ref="J4" si="0">I4/H4</f>
        <v>0.19845360824742267</v>
      </c>
      <c r="K4" s="22"/>
    </row>
    <row r="5" spans="1:11" ht="16" thickBot="1" x14ac:dyDescent="0.4">
      <c r="A5" s="228" t="s">
        <v>194</v>
      </c>
      <c r="B5" s="229"/>
      <c r="C5" s="218">
        <v>1359450.73</v>
      </c>
      <c r="D5" s="219"/>
      <c r="E5" s="247">
        <f t="shared" ref="E5:E10" si="1">C5/$C$10</f>
        <v>0.16259593751687804</v>
      </c>
      <c r="F5" s="248"/>
      <c r="G5" s="261" t="s">
        <v>202</v>
      </c>
      <c r="H5" s="262"/>
      <c r="I5" s="166"/>
      <c r="J5" s="166"/>
      <c r="K5" s="22"/>
    </row>
    <row r="6" spans="1:11" ht="16" thickBot="1" x14ac:dyDescent="0.4">
      <c r="A6" s="228" t="s">
        <v>195</v>
      </c>
      <c r="B6" s="229"/>
      <c r="C6" s="218">
        <v>683016.53</v>
      </c>
      <c r="D6" s="219"/>
      <c r="E6" s="247">
        <f t="shared" si="1"/>
        <v>8.1691605722904612E-2</v>
      </c>
      <c r="F6" s="248"/>
      <c r="G6" s="269">
        <v>388</v>
      </c>
      <c r="H6" s="270"/>
      <c r="I6" s="166"/>
      <c r="J6" s="166"/>
      <c r="K6" s="22"/>
    </row>
    <row r="7" spans="1:11" ht="15.5" x14ac:dyDescent="0.35">
      <c r="A7" s="228" t="s">
        <v>196</v>
      </c>
      <c r="B7" s="229"/>
      <c r="C7" s="218">
        <v>691257.18</v>
      </c>
      <c r="D7" s="219"/>
      <c r="E7" s="247">
        <f t="shared" si="1"/>
        <v>8.2677221591821365E-2</v>
      </c>
      <c r="F7" s="248"/>
      <c r="G7" s="258" t="s">
        <v>203</v>
      </c>
      <c r="H7" s="259"/>
      <c r="I7" s="259"/>
      <c r="J7" s="260"/>
      <c r="K7" s="22"/>
    </row>
    <row r="8" spans="1:11" ht="16" thickBot="1" x14ac:dyDescent="0.4">
      <c r="A8" s="228" t="s">
        <v>197</v>
      </c>
      <c r="B8" s="229"/>
      <c r="C8" s="218">
        <v>672074.71</v>
      </c>
      <c r="D8" s="219"/>
      <c r="E8" s="247">
        <f t="shared" si="1"/>
        <v>8.0382918735005512E-2</v>
      </c>
      <c r="F8" s="248"/>
      <c r="G8" s="175" t="s">
        <v>186</v>
      </c>
      <c r="H8" s="176" t="s">
        <v>156</v>
      </c>
      <c r="I8" s="178" t="s">
        <v>187</v>
      </c>
      <c r="J8" s="176" t="s">
        <v>188</v>
      </c>
      <c r="K8" s="22"/>
    </row>
    <row r="9" spans="1:11" ht="16" thickBot="1" x14ac:dyDescent="0.4">
      <c r="A9" s="230" t="s">
        <v>198</v>
      </c>
      <c r="B9" s="231"/>
      <c r="C9" s="220">
        <v>1332869.8700000001</v>
      </c>
      <c r="D9" s="221"/>
      <c r="E9" s="254">
        <f t="shared" si="1"/>
        <v>0.15941675657539228</v>
      </c>
      <c r="F9" s="255"/>
      <c r="G9" s="181">
        <v>47134.98</v>
      </c>
      <c r="H9" s="182">
        <v>54121.07</v>
      </c>
      <c r="I9" s="183">
        <f>SUM(H9-G9)</f>
        <v>6986.0899999999965</v>
      </c>
      <c r="J9" s="180">
        <f t="shared" ref="J9" si="2">I9/H9</f>
        <v>0.12908262900197642</v>
      </c>
      <c r="K9" s="22"/>
    </row>
    <row r="10" spans="1:11" ht="16" thickBot="1" x14ac:dyDescent="0.4">
      <c r="A10" s="237" t="s">
        <v>199</v>
      </c>
      <c r="B10" s="238"/>
      <c r="C10" s="222">
        <f>SUM(C3:C9)</f>
        <v>8360914.4899999993</v>
      </c>
      <c r="D10" s="222"/>
      <c r="E10" s="256">
        <f t="shared" si="1"/>
        <v>1</v>
      </c>
      <c r="F10" s="257"/>
      <c r="G10" s="261" t="s">
        <v>202</v>
      </c>
      <c r="H10" s="262"/>
      <c r="I10" s="166"/>
      <c r="J10" s="166"/>
      <c r="K10" s="22"/>
    </row>
    <row r="11" spans="1:11" ht="15" thickBot="1" x14ac:dyDescent="0.4">
      <c r="A11" s="134"/>
      <c r="B11" s="166"/>
      <c r="C11" s="166"/>
      <c r="D11" s="166"/>
      <c r="E11" s="166"/>
      <c r="F11" s="166"/>
      <c r="G11" s="263">
        <v>54121.07</v>
      </c>
      <c r="H11" s="264"/>
      <c r="I11" s="166"/>
      <c r="J11" s="166"/>
      <c r="K11" s="22"/>
    </row>
    <row r="12" spans="1:11" ht="15" thickBot="1" x14ac:dyDescent="0.4">
      <c r="A12" s="191" t="s">
        <v>180</v>
      </c>
      <c r="B12" s="223"/>
      <c r="C12" s="223"/>
      <c r="D12" s="192"/>
      <c r="E12" s="166"/>
      <c r="F12" s="166"/>
      <c r="G12" s="166"/>
      <c r="H12" s="169" t="s">
        <v>182</v>
      </c>
      <c r="I12" s="191" t="s">
        <v>183</v>
      </c>
      <c r="J12" s="192"/>
      <c r="K12" s="22"/>
    </row>
    <row r="13" spans="1:11" ht="15" thickBot="1" x14ac:dyDescent="0.4">
      <c r="A13" s="224" t="s">
        <v>150</v>
      </c>
      <c r="B13" s="225"/>
      <c r="C13" s="226">
        <v>7238474.8499999996</v>
      </c>
      <c r="D13" s="227"/>
      <c r="E13" s="166"/>
      <c r="F13" s="216" t="s">
        <v>184</v>
      </c>
      <c r="G13" s="217"/>
      <c r="H13" s="170">
        <v>165502.37</v>
      </c>
      <c r="I13" s="193">
        <v>2445354.63</v>
      </c>
      <c r="J13" s="194"/>
    </row>
    <row r="14" spans="1:11" ht="15" thickBot="1" x14ac:dyDescent="0.4">
      <c r="A14" s="224" t="s">
        <v>178</v>
      </c>
      <c r="B14" s="225"/>
      <c r="C14" s="204">
        <v>7556937.1200000001</v>
      </c>
      <c r="D14" s="205"/>
      <c r="E14" s="166"/>
      <c r="F14" s="216" t="s">
        <v>185</v>
      </c>
      <c r="G14" s="217"/>
      <c r="H14" s="171">
        <v>194779.6</v>
      </c>
      <c r="I14" s="195">
        <v>2224430.37</v>
      </c>
      <c r="J14" s="196"/>
      <c r="K14" s="22"/>
    </row>
    <row r="15" spans="1:11" ht="17.5" thickBot="1" x14ac:dyDescent="0.65">
      <c r="A15" s="200" t="s">
        <v>179</v>
      </c>
      <c r="B15" s="201"/>
      <c r="C15" s="202">
        <f>(C13+C14)</f>
        <v>14795411.969999999</v>
      </c>
      <c r="D15" s="203"/>
      <c r="E15" s="166"/>
      <c r="F15" s="21"/>
      <c r="G15" s="167" t="s">
        <v>13</v>
      </c>
      <c r="H15" s="173">
        <f>H13-H14</f>
        <v>-29277.23000000001</v>
      </c>
      <c r="I15" s="197">
        <f>I13-I14</f>
        <v>220924.25999999978</v>
      </c>
      <c r="J15" s="198"/>
    </row>
    <row r="16" spans="1:11" ht="15" thickBot="1" x14ac:dyDescent="0.4">
      <c r="A16" s="200" t="s">
        <v>181</v>
      </c>
      <c r="B16" s="201"/>
      <c r="C16" s="204">
        <v>8071643.2400000002</v>
      </c>
      <c r="D16" s="205"/>
      <c r="E16" s="166"/>
      <c r="F16" s="166"/>
      <c r="G16" s="166"/>
      <c r="H16" s="166"/>
      <c r="I16" s="166"/>
      <c r="J16" s="166"/>
    </row>
    <row r="17" spans="1:10" ht="15" thickBot="1" x14ac:dyDescent="0.4">
      <c r="A17" s="212" t="s">
        <v>206</v>
      </c>
      <c r="B17" s="213"/>
      <c r="C17" s="214">
        <f>C15-C16</f>
        <v>6723768.7299999986</v>
      </c>
      <c r="D17" s="215"/>
      <c r="E17" s="166"/>
      <c r="F17" s="21"/>
      <c r="G17" s="135" t="s">
        <v>165</v>
      </c>
      <c r="H17" s="136"/>
      <c r="I17" s="137"/>
      <c r="J17" s="138"/>
    </row>
    <row r="18" spans="1:10" ht="16" thickBot="1" x14ac:dyDescent="0.5">
      <c r="A18" s="134"/>
      <c r="B18" s="166"/>
      <c r="C18" s="166"/>
      <c r="D18" s="166"/>
      <c r="E18" s="166"/>
      <c r="F18" s="21"/>
      <c r="G18" s="139" t="s">
        <v>166</v>
      </c>
      <c r="H18" s="207">
        <v>735423.26</v>
      </c>
      <c r="I18" s="207"/>
      <c r="J18" s="140"/>
    </row>
    <row r="19" spans="1:10" ht="15" thickBot="1" x14ac:dyDescent="0.4">
      <c r="A19" s="191" t="s">
        <v>177</v>
      </c>
      <c r="B19" s="223"/>
      <c r="C19" s="223"/>
      <c r="D19" s="192"/>
      <c r="E19" s="21"/>
      <c r="F19" s="21"/>
      <c r="G19" s="141"/>
      <c r="H19" s="142"/>
      <c r="I19" s="142"/>
      <c r="J19" s="143"/>
    </row>
    <row r="20" spans="1:10" ht="16" thickBot="1" x14ac:dyDescent="0.5">
      <c r="A20" s="200" t="s">
        <v>150</v>
      </c>
      <c r="B20" s="201"/>
      <c r="C20" s="208">
        <v>7238474.8499999996</v>
      </c>
      <c r="D20" s="209"/>
      <c r="E20" s="21"/>
      <c r="F20" s="21"/>
      <c r="G20" s="141" t="s">
        <v>167</v>
      </c>
      <c r="H20" s="199">
        <v>262549.46000000002</v>
      </c>
      <c r="I20" s="199"/>
      <c r="J20" s="143"/>
    </row>
    <row r="21" spans="1:10" ht="15" thickBot="1" x14ac:dyDescent="0.4">
      <c r="A21" s="200" t="s">
        <v>151</v>
      </c>
      <c r="B21" s="201"/>
      <c r="C21" s="210">
        <v>8071643.2400000002</v>
      </c>
      <c r="D21" s="211"/>
      <c r="E21" s="21"/>
      <c r="F21" s="21"/>
      <c r="G21" s="141"/>
      <c r="H21" s="142"/>
      <c r="I21" s="142"/>
      <c r="J21" s="143"/>
    </row>
    <row r="22" spans="1:10" ht="17.5" thickBot="1" x14ac:dyDescent="0.65">
      <c r="A22" s="224" t="s">
        <v>152</v>
      </c>
      <c r="B22" s="225"/>
      <c r="C22" s="202">
        <f>(C20+C21)/2</f>
        <v>7655059.0449999999</v>
      </c>
      <c r="D22" s="203"/>
      <c r="E22" s="21"/>
      <c r="F22" s="21"/>
      <c r="G22" s="141" t="s">
        <v>168</v>
      </c>
      <c r="H22" s="199">
        <v>64172.69</v>
      </c>
      <c r="I22" s="199"/>
      <c r="J22" s="143"/>
    </row>
    <row r="23" spans="1:10" ht="15" thickBot="1" x14ac:dyDescent="0.4">
      <c r="A23" s="200" t="s">
        <v>153</v>
      </c>
      <c r="B23" s="201"/>
      <c r="C23" s="208">
        <v>7556937.1200000001</v>
      </c>
      <c r="D23" s="209"/>
      <c r="E23" s="21"/>
      <c r="F23" s="21"/>
      <c r="G23" s="141"/>
      <c r="H23" s="142"/>
      <c r="I23" s="142"/>
      <c r="J23" s="143"/>
    </row>
    <row r="24" spans="1:10" ht="16" thickBot="1" x14ac:dyDescent="0.5">
      <c r="A24" s="233" t="s">
        <v>154</v>
      </c>
      <c r="B24" s="234"/>
      <c r="C24" s="235">
        <f>C23/C22</f>
        <v>0.98718208123239892</v>
      </c>
      <c r="D24" s="236"/>
      <c r="E24" s="21"/>
      <c r="F24" s="21"/>
      <c r="G24" s="168" t="s">
        <v>169</v>
      </c>
      <c r="H24" s="199">
        <v>85933.61</v>
      </c>
      <c r="I24" s="199"/>
      <c r="J24" s="143"/>
    </row>
    <row r="25" spans="1:10" ht="15" thickBot="1" x14ac:dyDescent="0.4">
      <c r="A25" s="21"/>
      <c r="B25" s="21"/>
      <c r="C25" s="21"/>
      <c r="D25" s="21"/>
      <c r="E25" s="21"/>
      <c r="F25" s="21"/>
      <c r="G25" s="141"/>
      <c r="H25" s="142"/>
      <c r="I25" s="142"/>
      <c r="J25" s="143"/>
    </row>
    <row r="26" spans="1:10" ht="16" thickBot="1" x14ac:dyDescent="0.5">
      <c r="A26" s="191" t="s">
        <v>155</v>
      </c>
      <c r="B26" s="223"/>
      <c r="C26" s="223"/>
      <c r="D26" s="192"/>
      <c r="E26" s="21"/>
      <c r="F26" s="21"/>
      <c r="G26" s="144" t="s">
        <v>170</v>
      </c>
      <c r="H26" s="206">
        <f>SUM(H18+H20+H22+H24)</f>
        <v>1148079.02</v>
      </c>
      <c r="I26" s="206"/>
      <c r="J26" s="145"/>
    </row>
    <row r="27" spans="1:10" ht="15" thickBot="1" x14ac:dyDescent="0.4">
      <c r="A27" s="131"/>
      <c r="B27" s="132" t="s">
        <v>207</v>
      </c>
      <c r="C27" s="133" t="s">
        <v>17</v>
      </c>
      <c r="D27" s="133" t="s">
        <v>157</v>
      </c>
      <c r="E27" s="21"/>
      <c r="F27" s="21"/>
      <c r="G27" s="21"/>
      <c r="H27" s="21"/>
      <c r="I27" s="21"/>
      <c r="J27" s="146"/>
    </row>
    <row r="28" spans="1:10" ht="15" thickBot="1" x14ac:dyDescent="0.4">
      <c r="A28" s="147" t="s">
        <v>158</v>
      </c>
      <c r="B28" s="148">
        <v>935</v>
      </c>
      <c r="C28" s="148">
        <v>935</v>
      </c>
      <c r="D28" s="148">
        <v>935</v>
      </c>
      <c r="E28" s="21"/>
      <c r="F28" s="21"/>
      <c r="G28" s="135" t="s">
        <v>171</v>
      </c>
      <c r="H28" s="136"/>
      <c r="I28" s="137"/>
      <c r="J28" s="138"/>
    </row>
    <row r="29" spans="1:10" ht="15.5" x14ac:dyDescent="0.45">
      <c r="A29" s="147" t="s">
        <v>159</v>
      </c>
      <c r="B29" s="148">
        <v>0</v>
      </c>
      <c r="C29" s="148">
        <v>0</v>
      </c>
      <c r="D29" s="148">
        <v>0</v>
      </c>
      <c r="E29" s="21"/>
      <c r="F29" s="21"/>
      <c r="G29" s="139" t="s">
        <v>166</v>
      </c>
      <c r="H29" s="207">
        <v>238878.64</v>
      </c>
      <c r="I29" s="207"/>
      <c r="J29" s="140"/>
    </row>
    <row r="30" spans="1:10" x14ac:dyDescent="0.35">
      <c r="A30" s="147" t="s">
        <v>160</v>
      </c>
      <c r="B30" s="149">
        <v>0</v>
      </c>
      <c r="C30" s="150">
        <v>0</v>
      </c>
      <c r="D30" s="150">
        <v>0</v>
      </c>
      <c r="E30" s="21"/>
      <c r="F30" s="21"/>
      <c r="G30" s="141"/>
      <c r="H30" s="142"/>
      <c r="I30" s="142"/>
      <c r="J30" s="143"/>
    </row>
    <row r="31" spans="1:10" ht="15.5" x14ac:dyDescent="0.45">
      <c r="A31" s="151" t="s">
        <v>161</v>
      </c>
      <c r="B31" s="152">
        <v>5</v>
      </c>
      <c r="C31" s="153">
        <v>5</v>
      </c>
      <c r="D31" s="153">
        <v>5</v>
      </c>
      <c r="E31" s="21"/>
      <c r="F31" s="21"/>
      <c r="G31" s="141" t="s">
        <v>167</v>
      </c>
      <c r="H31" s="199">
        <v>398870.62</v>
      </c>
      <c r="I31" s="199"/>
      <c r="J31" s="143"/>
    </row>
    <row r="32" spans="1:10" x14ac:dyDescent="0.35">
      <c r="A32" s="154" t="s">
        <v>162</v>
      </c>
      <c r="B32" s="174">
        <f>B29/B28</f>
        <v>0</v>
      </c>
      <c r="C32" s="174">
        <f>C29/C28</f>
        <v>0</v>
      </c>
      <c r="D32" s="174">
        <f>D29/D28</f>
        <v>0</v>
      </c>
      <c r="E32" s="21"/>
      <c r="F32" s="21"/>
      <c r="G32" s="141"/>
      <c r="H32" s="142"/>
      <c r="I32" s="142"/>
      <c r="J32" s="143"/>
    </row>
    <row r="33" spans="1:10" ht="15.5" x14ac:dyDescent="0.45">
      <c r="A33" s="155" t="s">
        <v>163</v>
      </c>
      <c r="B33" s="156" t="s">
        <v>175</v>
      </c>
      <c r="C33" s="157"/>
      <c r="D33" s="157"/>
      <c r="E33" s="21"/>
      <c r="F33" s="21"/>
      <c r="G33" s="141" t="s">
        <v>168</v>
      </c>
      <c r="H33" s="199">
        <v>190980.3</v>
      </c>
      <c r="I33" s="199"/>
      <c r="J33" s="143"/>
    </row>
    <row r="34" spans="1:10" x14ac:dyDescent="0.35">
      <c r="A34" s="155" t="s">
        <v>164</v>
      </c>
      <c r="B34" s="158" t="s">
        <v>174</v>
      </c>
      <c r="C34" s="159"/>
      <c r="D34" s="90"/>
      <c r="E34" s="21"/>
      <c r="F34" s="21"/>
      <c r="G34" s="141"/>
      <c r="H34" s="142"/>
      <c r="I34" s="142"/>
      <c r="J34" s="143"/>
    </row>
    <row r="35" spans="1:10" ht="15.5" x14ac:dyDescent="0.45">
      <c r="A35" s="160"/>
      <c r="B35" s="158" t="s">
        <v>173</v>
      </c>
      <c r="C35" s="159"/>
      <c r="D35" s="90"/>
      <c r="E35" s="21"/>
      <c r="F35" s="21"/>
      <c r="G35" s="168" t="s">
        <v>169</v>
      </c>
      <c r="H35" s="199">
        <v>54355.45</v>
      </c>
      <c r="I35" s="199"/>
      <c r="J35" s="143"/>
    </row>
    <row r="36" spans="1:10" x14ac:dyDescent="0.35">
      <c r="A36" s="160"/>
      <c r="B36" s="158" t="s">
        <v>172</v>
      </c>
      <c r="C36" s="159"/>
      <c r="D36" s="161"/>
      <c r="E36" s="21"/>
      <c r="F36" s="21"/>
      <c r="G36" s="141"/>
      <c r="H36" s="142"/>
      <c r="I36" s="142"/>
      <c r="J36" s="143"/>
    </row>
    <row r="37" spans="1:10" ht="17.5" thickBot="1" x14ac:dyDescent="0.65">
      <c r="A37" s="162"/>
      <c r="B37" s="163" t="s">
        <v>176</v>
      </c>
      <c r="C37" s="164"/>
      <c r="D37" s="130"/>
      <c r="E37" s="165"/>
      <c r="F37" s="165"/>
      <c r="G37" s="144" t="s">
        <v>170</v>
      </c>
      <c r="H37" s="232">
        <f>SUM(H29+H31+H33+H35)</f>
        <v>883085.01</v>
      </c>
      <c r="I37" s="232"/>
      <c r="J37" s="145"/>
    </row>
  </sheetData>
  <mergeCells count="75">
    <mergeCell ref="G11:H11"/>
    <mergeCell ref="G1:H1"/>
    <mergeCell ref="I1:J1"/>
    <mergeCell ref="G2:J2"/>
    <mergeCell ref="G5:H5"/>
    <mergeCell ref="G6:H6"/>
    <mergeCell ref="E8:F8"/>
    <mergeCell ref="E9:F9"/>
    <mergeCell ref="E10:F10"/>
    <mergeCell ref="G7:J7"/>
    <mergeCell ref="G10:H10"/>
    <mergeCell ref="A10:B10"/>
    <mergeCell ref="C2:D2"/>
    <mergeCell ref="C3:D3"/>
    <mergeCell ref="C4:D4"/>
    <mergeCell ref="A1:F1"/>
    <mergeCell ref="E3:F3"/>
    <mergeCell ref="E4:F4"/>
    <mergeCell ref="E5:F5"/>
    <mergeCell ref="E6:F6"/>
    <mergeCell ref="A2:B2"/>
    <mergeCell ref="A3:B3"/>
    <mergeCell ref="A4:B4"/>
    <mergeCell ref="A5:B5"/>
    <mergeCell ref="A6:B6"/>
    <mergeCell ref="E2:F2"/>
    <mergeCell ref="E7:F7"/>
    <mergeCell ref="H35:I35"/>
    <mergeCell ref="H37:I37"/>
    <mergeCell ref="A19:D19"/>
    <mergeCell ref="A20:B20"/>
    <mergeCell ref="A21:B21"/>
    <mergeCell ref="A22:B22"/>
    <mergeCell ref="A23:B23"/>
    <mergeCell ref="H22:I22"/>
    <mergeCell ref="A26:D26"/>
    <mergeCell ref="A24:B24"/>
    <mergeCell ref="C22:D22"/>
    <mergeCell ref="C23:D23"/>
    <mergeCell ref="C24:D24"/>
    <mergeCell ref="H29:I29"/>
    <mergeCell ref="H31:I31"/>
    <mergeCell ref="H33:I33"/>
    <mergeCell ref="F14:G14"/>
    <mergeCell ref="C5:D5"/>
    <mergeCell ref="C6:D6"/>
    <mergeCell ref="C7:D7"/>
    <mergeCell ref="C8:D8"/>
    <mergeCell ref="C9:D9"/>
    <mergeCell ref="C10:D10"/>
    <mergeCell ref="F13:G13"/>
    <mergeCell ref="A12:D12"/>
    <mergeCell ref="A13:B13"/>
    <mergeCell ref="C13:D13"/>
    <mergeCell ref="A14:B14"/>
    <mergeCell ref="C14:D14"/>
    <mergeCell ref="A7:B7"/>
    <mergeCell ref="A8:B8"/>
    <mergeCell ref="A9:B9"/>
    <mergeCell ref="A15:B15"/>
    <mergeCell ref="C15:D15"/>
    <mergeCell ref="A16:B16"/>
    <mergeCell ref="C16:D16"/>
    <mergeCell ref="H26:I26"/>
    <mergeCell ref="H18:I18"/>
    <mergeCell ref="H20:I20"/>
    <mergeCell ref="C20:D20"/>
    <mergeCell ref="C21:D21"/>
    <mergeCell ref="A17:B17"/>
    <mergeCell ref="C17:D17"/>
    <mergeCell ref="I12:J12"/>
    <mergeCell ref="I13:J13"/>
    <mergeCell ref="I14:J14"/>
    <mergeCell ref="I15:J15"/>
    <mergeCell ref="H24:I24"/>
  </mergeCells>
  <pageMargins left="0" right="0" top="0.25" bottom="0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0502-4824-40A2-85DD-2D7A4401CDA4}">
  <dimension ref="A1:U46"/>
  <sheetViews>
    <sheetView workbookViewId="0">
      <selection activeCell="F1" sqref="F1"/>
    </sheetView>
  </sheetViews>
  <sheetFormatPr defaultRowHeight="14.5" x14ac:dyDescent="0.35"/>
  <cols>
    <col min="1" max="1" width="11.54296875" customWidth="1"/>
    <col min="2" max="2" width="16.7265625" customWidth="1"/>
    <col min="3" max="3" width="0.7265625" customWidth="1"/>
    <col min="4" max="4" width="15.7265625" customWidth="1"/>
    <col min="5" max="5" width="1.26953125" customWidth="1"/>
    <col min="6" max="6" width="15.7265625" customWidth="1"/>
    <col min="7" max="7" width="1.26953125" customWidth="1"/>
    <col min="8" max="8" width="9.7265625" customWidth="1"/>
    <col min="9" max="9" width="1.453125" customWidth="1"/>
    <col min="10" max="10" width="15.7265625" customWidth="1"/>
    <col min="11" max="11" width="1" customWidth="1"/>
    <col min="12" max="12" width="16.7265625" customWidth="1"/>
    <col min="13" max="13" width="1.26953125" customWidth="1"/>
    <col min="14" max="14" width="16.7265625" customWidth="1"/>
    <col min="15" max="15" width="12" customWidth="1"/>
    <col min="16" max="16" width="9.7265625" customWidth="1"/>
    <col min="17" max="17" width="1.26953125" customWidth="1"/>
    <col min="18" max="18" width="15.7265625" customWidth="1"/>
    <col min="19" max="19" width="1.26953125" customWidth="1"/>
    <col min="20" max="20" width="16.7265625" customWidth="1"/>
    <col min="21" max="21" width="12.81640625" customWidth="1"/>
  </cols>
  <sheetData>
    <row r="1" spans="1:21" ht="6" customHeight="1" x14ac:dyDescent="0.35">
      <c r="A1" s="2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x14ac:dyDescent="0.35">
      <c r="A2" s="2"/>
      <c r="B2" s="25" t="s">
        <v>15</v>
      </c>
      <c r="C2" s="21"/>
      <c r="D2" s="4" t="s">
        <v>16</v>
      </c>
      <c r="E2" s="21"/>
      <c r="F2" s="21"/>
      <c r="G2" s="21"/>
      <c r="H2" s="21"/>
      <c r="I2" s="21"/>
      <c r="J2" s="21"/>
      <c r="K2" s="21"/>
      <c r="L2" s="3" t="s">
        <v>15</v>
      </c>
      <c r="M2" s="21"/>
      <c r="N2" s="4" t="s">
        <v>16</v>
      </c>
      <c r="O2" s="21"/>
      <c r="P2" s="21"/>
      <c r="Q2" s="21"/>
      <c r="R2" s="21"/>
      <c r="S2" s="21"/>
      <c r="T2" s="21"/>
      <c r="U2" s="21"/>
    </row>
    <row r="3" spans="1:21" ht="15" thickBot="1" x14ac:dyDescent="0.4">
      <c r="A3" s="2"/>
      <c r="B3" s="3" t="s">
        <v>43</v>
      </c>
      <c r="C3" s="21"/>
      <c r="D3" s="4" t="s">
        <v>17</v>
      </c>
      <c r="E3" s="21"/>
      <c r="F3" s="4" t="s">
        <v>13</v>
      </c>
      <c r="G3" s="21"/>
      <c r="H3" s="4" t="s">
        <v>14</v>
      </c>
      <c r="I3" s="21"/>
      <c r="J3" s="21"/>
      <c r="K3" s="21"/>
      <c r="L3" s="3" t="s">
        <v>44</v>
      </c>
      <c r="M3" s="21"/>
      <c r="N3" s="4" t="s">
        <v>17</v>
      </c>
      <c r="O3" s="4" t="s">
        <v>13</v>
      </c>
      <c r="P3" s="4" t="s">
        <v>14</v>
      </c>
      <c r="Q3" s="21"/>
      <c r="R3" s="21"/>
      <c r="S3" s="21"/>
      <c r="T3" s="21"/>
      <c r="U3" s="21"/>
    </row>
    <row r="4" spans="1:21" ht="15" thickBot="1" x14ac:dyDescent="0.4">
      <c r="A4" s="5" t="s">
        <v>0</v>
      </c>
      <c r="B4" s="9">
        <v>1434770.17</v>
      </c>
      <c r="C4" s="21"/>
      <c r="D4" s="6">
        <v>1393514</v>
      </c>
      <c r="E4" s="21"/>
      <c r="F4" s="7">
        <f>(D4-B4)</f>
        <v>-41256.169999999925</v>
      </c>
      <c r="G4" s="21"/>
      <c r="H4" s="8">
        <f>F4/B4</f>
        <v>-2.8754549587548178E-2</v>
      </c>
      <c r="I4" s="21"/>
      <c r="J4" s="5" t="s">
        <v>0</v>
      </c>
      <c r="K4" s="21"/>
      <c r="L4" s="9">
        <v>625426.39</v>
      </c>
      <c r="M4" s="21"/>
      <c r="N4" s="6">
        <v>625987</v>
      </c>
      <c r="O4" s="7">
        <f>(N4-L4)</f>
        <v>560.60999999998603</v>
      </c>
      <c r="P4" s="8">
        <f>O4/L4</f>
        <v>8.9636447863990199E-4</v>
      </c>
      <c r="Q4" s="21"/>
      <c r="R4" s="21"/>
      <c r="S4" s="21"/>
      <c r="T4" s="21"/>
      <c r="U4" s="21"/>
    </row>
    <row r="5" spans="1:21" ht="15" thickBot="1" x14ac:dyDescent="0.4">
      <c r="A5" s="5" t="s">
        <v>8</v>
      </c>
      <c r="B5" s="9">
        <v>1486375.55</v>
      </c>
      <c r="C5" s="21"/>
      <c r="D5" s="6">
        <v>1583727</v>
      </c>
      <c r="E5" s="21"/>
      <c r="F5" s="7">
        <f>(D5-B5)</f>
        <v>97351.449999999953</v>
      </c>
      <c r="G5" s="21"/>
      <c r="H5" s="8">
        <f t="shared" ref="H5:H15" si="0">F5/B5</f>
        <v>6.5495863410831773E-2</v>
      </c>
      <c r="I5" s="21"/>
      <c r="J5" s="5" t="s">
        <v>8</v>
      </c>
      <c r="K5" s="21"/>
      <c r="L5" s="9">
        <v>540086.77</v>
      </c>
      <c r="M5" s="21"/>
      <c r="N5" s="6">
        <v>539904</v>
      </c>
      <c r="O5" s="7">
        <f t="shared" ref="O5:O15" si="1">(N5-L5)</f>
        <v>-182.77000000001863</v>
      </c>
      <c r="P5" s="8">
        <f t="shared" ref="P5:P15" si="2">O5/L5</f>
        <v>-3.3840858571673331E-4</v>
      </c>
      <c r="Q5" s="21"/>
      <c r="R5" s="21"/>
      <c r="S5" s="21"/>
      <c r="T5" s="21"/>
      <c r="U5" s="21"/>
    </row>
    <row r="6" spans="1:21" ht="15" thickBot="1" x14ac:dyDescent="0.4">
      <c r="A6" s="5" t="s">
        <v>1</v>
      </c>
      <c r="B6" s="9">
        <v>1870707.65</v>
      </c>
      <c r="C6" s="21"/>
      <c r="D6" s="6">
        <v>0</v>
      </c>
      <c r="E6" s="21"/>
      <c r="F6" s="7">
        <f t="shared" ref="F6:F15" si="3">(D6-B6)</f>
        <v>-1870707.65</v>
      </c>
      <c r="G6" s="21"/>
      <c r="H6" s="8">
        <f t="shared" si="0"/>
        <v>-1</v>
      </c>
      <c r="I6" s="21"/>
      <c r="J6" s="5" t="s">
        <v>1</v>
      </c>
      <c r="K6" s="21"/>
      <c r="L6" s="9">
        <v>657007.43000000005</v>
      </c>
      <c r="M6" s="21"/>
      <c r="N6" s="6">
        <v>0</v>
      </c>
      <c r="O6" s="7">
        <f t="shared" si="1"/>
        <v>-657007.43000000005</v>
      </c>
      <c r="P6" s="8">
        <f t="shared" si="2"/>
        <v>-1</v>
      </c>
      <c r="Q6" s="21"/>
      <c r="R6" s="21"/>
      <c r="S6" s="21"/>
      <c r="T6" s="21"/>
      <c r="U6" s="21"/>
    </row>
    <row r="7" spans="1:21" ht="15" thickBot="1" x14ac:dyDescent="0.4">
      <c r="A7" s="5" t="s">
        <v>2</v>
      </c>
      <c r="B7" s="9">
        <v>1612613.32</v>
      </c>
      <c r="C7" s="21"/>
      <c r="D7" s="6">
        <v>0</v>
      </c>
      <c r="E7" s="21"/>
      <c r="F7" s="7">
        <f t="shared" si="3"/>
        <v>-1612613.32</v>
      </c>
      <c r="G7" s="21"/>
      <c r="H7" s="8">
        <f t="shared" si="0"/>
        <v>-1</v>
      </c>
      <c r="I7" s="21"/>
      <c r="J7" s="5" t="s">
        <v>2</v>
      </c>
      <c r="K7" s="21"/>
      <c r="L7" s="9">
        <v>601537.81000000006</v>
      </c>
      <c r="M7" s="21"/>
      <c r="N7" s="6">
        <v>0</v>
      </c>
      <c r="O7" s="7">
        <f t="shared" si="1"/>
        <v>-601537.81000000006</v>
      </c>
      <c r="P7" s="8">
        <f t="shared" si="2"/>
        <v>-1</v>
      </c>
      <c r="Q7" s="21"/>
      <c r="R7" s="21"/>
      <c r="S7" s="21"/>
      <c r="T7" s="21"/>
      <c r="U7" s="21"/>
    </row>
    <row r="8" spans="1:21" ht="15" thickBot="1" x14ac:dyDescent="0.4">
      <c r="A8" s="5" t="s">
        <v>3</v>
      </c>
      <c r="B8" s="9">
        <v>1786829.01</v>
      </c>
      <c r="C8" s="21"/>
      <c r="D8" s="6">
        <v>0</v>
      </c>
      <c r="E8" s="21"/>
      <c r="F8" s="7">
        <f t="shared" si="3"/>
        <v>-1786829.01</v>
      </c>
      <c r="G8" s="21"/>
      <c r="H8" s="8">
        <f t="shared" si="0"/>
        <v>-1</v>
      </c>
      <c r="I8" s="21"/>
      <c r="J8" s="5" t="s">
        <v>3</v>
      </c>
      <c r="K8" s="21"/>
      <c r="L8" s="9">
        <v>581808.04</v>
      </c>
      <c r="M8" s="21"/>
      <c r="N8" s="6">
        <v>0</v>
      </c>
      <c r="O8" s="7">
        <f t="shared" si="1"/>
        <v>-581808.04</v>
      </c>
      <c r="P8" s="8">
        <f t="shared" si="2"/>
        <v>-1</v>
      </c>
      <c r="Q8" s="21"/>
      <c r="R8" s="21"/>
      <c r="S8" s="21"/>
      <c r="T8" s="21"/>
      <c r="U8" s="21"/>
    </row>
    <row r="9" spans="1:21" ht="15" thickBot="1" x14ac:dyDescent="0.4">
      <c r="A9" s="5" t="s">
        <v>4</v>
      </c>
      <c r="B9" s="9">
        <v>1731694.73</v>
      </c>
      <c r="C9" s="21"/>
      <c r="D9" s="6">
        <v>0</v>
      </c>
      <c r="E9" s="21"/>
      <c r="F9" s="7">
        <f t="shared" si="3"/>
        <v>-1731694.73</v>
      </c>
      <c r="G9" s="21"/>
      <c r="H9" s="8">
        <f t="shared" si="0"/>
        <v>-1</v>
      </c>
      <c r="I9" s="21"/>
      <c r="J9" s="5" t="s">
        <v>4</v>
      </c>
      <c r="K9" s="21"/>
      <c r="L9" s="9">
        <v>625551.35</v>
      </c>
      <c r="M9" s="21"/>
      <c r="N9" s="6">
        <v>0</v>
      </c>
      <c r="O9" s="7">
        <f t="shared" si="1"/>
        <v>-625551.35</v>
      </c>
      <c r="P9" s="8">
        <f t="shared" si="2"/>
        <v>-1</v>
      </c>
      <c r="Q9" s="21"/>
      <c r="R9" s="21"/>
      <c r="S9" s="21"/>
      <c r="T9" s="21"/>
      <c r="U9" s="21"/>
    </row>
    <row r="10" spans="1:21" ht="15" thickBot="1" x14ac:dyDescent="0.4">
      <c r="A10" s="5" t="s">
        <v>5</v>
      </c>
      <c r="B10" s="9">
        <v>1604856.93</v>
      </c>
      <c r="C10" s="21"/>
      <c r="D10" s="6">
        <v>0</v>
      </c>
      <c r="E10" s="21"/>
      <c r="F10" s="7">
        <f t="shared" si="3"/>
        <v>-1604856.93</v>
      </c>
      <c r="G10" s="21"/>
      <c r="H10" s="8">
        <f t="shared" si="0"/>
        <v>-1</v>
      </c>
      <c r="I10" s="21"/>
      <c r="J10" s="5" t="s">
        <v>5</v>
      </c>
      <c r="K10" s="21"/>
      <c r="L10" s="9">
        <v>540263.56999999995</v>
      </c>
      <c r="M10" s="21"/>
      <c r="N10" s="6">
        <v>0</v>
      </c>
      <c r="O10" s="7">
        <f t="shared" si="1"/>
        <v>-540263.56999999995</v>
      </c>
      <c r="P10" s="8">
        <f t="shared" si="2"/>
        <v>-1</v>
      </c>
      <c r="Q10" s="21"/>
      <c r="R10" s="21"/>
      <c r="S10" s="21"/>
      <c r="T10" s="21"/>
      <c r="U10" s="21"/>
    </row>
    <row r="11" spans="1:21" ht="15" thickBot="1" x14ac:dyDescent="0.4">
      <c r="A11" s="5" t="s">
        <v>6</v>
      </c>
      <c r="B11" s="9">
        <v>1839050.77</v>
      </c>
      <c r="C11" s="21"/>
      <c r="D11" s="6">
        <v>0</v>
      </c>
      <c r="E11" s="21"/>
      <c r="F11" s="7">
        <f t="shared" si="3"/>
        <v>-1839050.77</v>
      </c>
      <c r="G11" s="21"/>
      <c r="H11" s="8">
        <f t="shared" si="0"/>
        <v>-1</v>
      </c>
      <c r="I11" s="21"/>
      <c r="J11" s="5" t="s">
        <v>6</v>
      </c>
      <c r="K11" s="21"/>
      <c r="L11" s="9">
        <v>726887.33</v>
      </c>
      <c r="M11" s="21"/>
      <c r="N11" s="6">
        <v>0</v>
      </c>
      <c r="O11" s="7">
        <f t="shared" si="1"/>
        <v>-726887.33</v>
      </c>
      <c r="P11" s="8">
        <f t="shared" si="2"/>
        <v>-1</v>
      </c>
      <c r="Q11" s="21"/>
      <c r="R11" s="21"/>
      <c r="S11" s="21"/>
      <c r="T11" s="21"/>
      <c r="U11" s="21"/>
    </row>
    <row r="12" spans="1:21" ht="15" thickBot="1" x14ac:dyDescent="0.4">
      <c r="A12" s="5" t="s">
        <v>7</v>
      </c>
      <c r="B12" s="9">
        <v>1542731.36</v>
      </c>
      <c r="C12" s="21"/>
      <c r="D12" s="6">
        <v>0</v>
      </c>
      <c r="E12" s="21"/>
      <c r="F12" s="7">
        <f t="shared" si="3"/>
        <v>-1542731.36</v>
      </c>
      <c r="G12" s="21"/>
      <c r="H12" s="8">
        <f t="shared" si="0"/>
        <v>-1</v>
      </c>
      <c r="I12" s="21"/>
      <c r="J12" s="5" t="s">
        <v>7</v>
      </c>
      <c r="K12" s="21"/>
      <c r="L12" s="9">
        <v>537667.04</v>
      </c>
      <c r="M12" s="21"/>
      <c r="N12" s="6">
        <v>0</v>
      </c>
      <c r="O12" s="7">
        <f t="shared" si="1"/>
        <v>-537667.04</v>
      </c>
      <c r="P12" s="8">
        <f t="shared" si="2"/>
        <v>-1</v>
      </c>
      <c r="Q12" s="21"/>
      <c r="R12" s="21"/>
      <c r="S12" s="21"/>
      <c r="T12" s="21"/>
      <c r="U12" s="21"/>
    </row>
    <row r="13" spans="1:21" ht="15" thickBot="1" x14ac:dyDescent="0.4">
      <c r="A13" s="5" t="s">
        <v>9</v>
      </c>
      <c r="B13" s="9">
        <v>1515128.96</v>
      </c>
      <c r="C13" s="21"/>
      <c r="D13" s="6">
        <v>0</v>
      </c>
      <c r="E13" s="21"/>
      <c r="F13" s="7">
        <f t="shared" si="3"/>
        <v>-1515128.96</v>
      </c>
      <c r="G13" s="21"/>
      <c r="H13" s="8">
        <f t="shared" si="0"/>
        <v>-1</v>
      </c>
      <c r="I13" s="21"/>
      <c r="J13" s="5" t="s">
        <v>9</v>
      </c>
      <c r="K13" s="21"/>
      <c r="L13" s="9">
        <v>816369.06</v>
      </c>
      <c r="M13" s="21"/>
      <c r="N13" s="6">
        <v>0</v>
      </c>
      <c r="O13" s="7">
        <f t="shared" si="1"/>
        <v>-816369.06</v>
      </c>
      <c r="P13" s="8">
        <f t="shared" si="2"/>
        <v>-1</v>
      </c>
      <c r="Q13" s="21"/>
      <c r="R13" s="21"/>
      <c r="S13" s="21"/>
      <c r="T13" s="21"/>
      <c r="U13" s="21"/>
    </row>
    <row r="14" spans="1:21" ht="15" thickBot="1" x14ac:dyDescent="0.4">
      <c r="A14" s="5" t="s">
        <v>10</v>
      </c>
      <c r="B14" s="9">
        <v>1387317.08</v>
      </c>
      <c r="C14" s="21"/>
      <c r="D14" s="6">
        <v>0</v>
      </c>
      <c r="E14" s="21"/>
      <c r="F14" s="7">
        <f t="shared" si="3"/>
        <v>-1387317.08</v>
      </c>
      <c r="G14" s="21"/>
      <c r="H14" s="8">
        <f t="shared" si="0"/>
        <v>-1</v>
      </c>
      <c r="I14" s="21"/>
      <c r="J14" s="5" t="s">
        <v>10</v>
      </c>
      <c r="K14" s="21"/>
      <c r="L14" s="9">
        <v>608884.03</v>
      </c>
      <c r="M14" s="21"/>
      <c r="N14" s="6">
        <v>0</v>
      </c>
      <c r="O14" s="7">
        <f t="shared" si="1"/>
        <v>-608884.03</v>
      </c>
      <c r="P14" s="8">
        <f t="shared" si="2"/>
        <v>-1</v>
      </c>
      <c r="Q14" s="21"/>
      <c r="R14" s="21"/>
      <c r="S14" s="21"/>
      <c r="T14" s="21"/>
      <c r="U14" s="21"/>
    </row>
    <row r="15" spans="1:21" ht="15" thickBot="1" x14ac:dyDescent="0.4">
      <c r="A15" s="5" t="s">
        <v>11</v>
      </c>
      <c r="B15" s="9">
        <v>1374878.57</v>
      </c>
      <c r="C15" s="21"/>
      <c r="D15" s="6">
        <v>0</v>
      </c>
      <c r="E15" s="21"/>
      <c r="F15" s="7">
        <f t="shared" si="3"/>
        <v>-1374878.57</v>
      </c>
      <c r="G15" s="21"/>
      <c r="H15" s="8">
        <f t="shared" si="0"/>
        <v>-1</v>
      </c>
      <c r="I15" s="21"/>
      <c r="J15" s="5" t="s">
        <v>11</v>
      </c>
      <c r="K15" s="21"/>
      <c r="L15" s="9">
        <v>503002.67</v>
      </c>
      <c r="M15" s="21"/>
      <c r="N15" s="6">
        <v>0</v>
      </c>
      <c r="O15" s="7">
        <f t="shared" si="1"/>
        <v>-503002.67</v>
      </c>
      <c r="P15" s="8">
        <f t="shared" si="2"/>
        <v>-1</v>
      </c>
      <c r="Q15" s="21"/>
      <c r="R15" s="21"/>
      <c r="S15" s="21"/>
      <c r="T15" s="21"/>
      <c r="U15" s="21"/>
    </row>
    <row r="16" spans="1:21" ht="4.5" customHeight="1" x14ac:dyDescent="0.35">
      <c r="A16" s="2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1:21" x14ac:dyDescent="0.35">
      <c r="A17" s="2"/>
      <c r="B17" s="3" t="s">
        <v>40</v>
      </c>
      <c r="C17" s="21"/>
      <c r="D17" s="4" t="s">
        <v>16</v>
      </c>
      <c r="E17" s="21"/>
      <c r="F17" s="21"/>
      <c r="G17" s="21"/>
      <c r="H17" s="21"/>
      <c r="I17" s="21"/>
      <c r="J17" s="21"/>
      <c r="K17" s="21"/>
      <c r="L17" s="3" t="s">
        <v>15</v>
      </c>
      <c r="M17" s="21"/>
      <c r="N17" s="4" t="s">
        <v>16</v>
      </c>
      <c r="O17" s="21"/>
      <c r="P17" s="21"/>
      <c r="Q17" s="21"/>
      <c r="R17" s="21"/>
      <c r="S17" s="21"/>
      <c r="T17" s="21"/>
      <c r="U17" s="21"/>
    </row>
    <row r="18" spans="1:21" ht="15" thickBot="1" x14ac:dyDescent="0.4">
      <c r="A18" s="2"/>
      <c r="B18" s="3" t="s">
        <v>42</v>
      </c>
      <c r="C18" s="21"/>
      <c r="D18" s="4" t="s">
        <v>17</v>
      </c>
      <c r="E18" s="21"/>
      <c r="F18" s="4" t="s">
        <v>13</v>
      </c>
      <c r="G18" s="21"/>
      <c r="H18" s="4" t="s">
        <v>14</v>
      </c>
      <c r="I18" s="21"/>
      <c r="J18" s="21"/>
      <c r="K18" s="21"/>
      <c r="L18" s="3" t="s">
        <v>12</v>
      </c>
      <c r="M18" s="21"/>
      <c r="N18" s="4" t="s">
        <v>17</v>
      </c>
      <c r="O18" s="4" t="s">
        <v>13</v>
      </c>
      <c r="P18" s="4" t="s">
        <v>14</v>
      </c>
      <c r="Q18" s="21"/>
      <c r="R18" s="21"/>
      <c r="S18" s="21"/>
      <c r="T18" s="21"/>
      <c r="U18" s="21"/>
    </row>
    <row r="19" spans="1:21" ht="15" thickBot="1" x14ac:dyDescent="0.4">
      <c r="A19" s="5" t="s">
        <v>0</v>
      </c>
      <c r="B19" s="9">
        <v>802825.57</v>
      </c>
      <c r="C19" s="21"/>
      <c r="D19" s="6">
        <v>793514</v>
      </c>
      <c r="E19" s="21"/>
      <c r="F19" s="7">
        <f>(D19-B19)</f>
        <v>-9311.5699999999488</v>
      </c>
      <c r="G19" s="21"/>
      <c r="H19" s="8">
        <f>F19/B19</f>
        <v>-1.1598497043386335E-2</v>
      </c>
      <c r="I19" s="21"/>
      <c r="J19" s="5" t="s">
        <v>0</v>
      </c>
      <c r="K19" s="21"/>
      <c r="L19" s="9">
        <v>405011.48</v>
      </c>
      <c r="M19" s="21"/>
      <c r="N19" s="6">
        <v>399994</v>
      </c>
      <c r="O19" s="7">
        <f>(N19-L19)</f>
        <v>-5017.4799999999814</v>
      </c>
      <c r="P19" s="8">
        <f>O19/L19</f>
        <v>-1.2388488346058688E-2</v>
      </c>
      <c r="Q19" s="21"/>
      <c r="R19" s="21"/>
      <c r="S19" s="21"/>
      <c r="T19" s="21"/>
      <c r="U19" s="21"/>
    </row>
    <row r="20" spans="1:21" ht="15" thickBot="1" x14ac:dyDescent="0.4">
      <c r="A20" s="5" t="s">
        <v>8</v>
      </c>
      <c r="B20" s="9">
        <v>817910.96</v>
      </c>
      <c r="C20" s="21"/>
      <c r="D20" s="6">
        <v>823727</v>
      </c>
      <c r="E20" s="21"/>
      <c r="F20" s="7">
        <f>(D20-B20)</f>
        <v>5816.0400000000373</v>
      </c>
      <c r="G20" s="21"/>
      <c r="H20" s="8">
        <f t="shared" ref="H20:H30" si="4">F20/B20</f>
        <v>7.1108473714547576E-3</v>
      </c>
      <c r="I20" s="21"/>
      <c r="J20" s="5" t="s">
        <v>8</v>
      </c>
      <c r="K20" s="21"/>
      <c r="L20" s="9">
        <v>350237.2</v>
      </c>
      <c r="M20" s="21"/>
      <c r="N20" s="6">
        <v>386507</v>
      </c>
      <c r="O20" s="7">
        <f t="shared" ref="O20:O30" si="5">(N20-L20)</f>
        <v>36269.799999999988</v>
      </c>
      <c r="P20" s="8">
        <f t="shared" ref="P20:P30" si="6">O20/L20</f>
        <v>0.10355781738775889</v>
      </c>
      <c r="Q20" s="21"/>
      <c r="R20" s="21"/>
      <c r="S20" s="21"/>
      <c r="T20" s="21"/>
      <c r="U20" s="21"/>
    </row>
    <row r="21" spans="1:21" ht="15" thickBot="1" x14ac:dyDescent="0.4">
      <c r="A21" s="5" t="s">
        <v>1</v>
      </c>
      <c r="B21" s="9">
        <v>1020472.2</v>
      </c>
      <c r="C21" s="21"/>
      <c r="D21" s="6">
        <v>0</v>
      </c>
      <c r="E21" s="21"/>
      <c r="F21" s="7">
        <f t="shared" ref="F21:F30" si="7">(D21-B21)</f>
        <v>-1020472.2</v>
      </c>
      <c r="G21" s="21"/>
      <c r="H21" s="8">
        <f t="shared" si="4"/>
        <v>-1</v>
      </c>
      <c r="I21" s="21"/>
      <c r="J21" s="5" t="s">
        <v>1</v>
      </c>
      <c r="K21" s="21"/>
      <c r="L21" s="9">
        <v>405162.32</v>
      </c>
      <c r="M21" s="21"/>
      <c r="N21" s="6">
        <v>0</v>
      </c>
      <c r="O21" s="7">
        <f t="shared" si="5"/>
        <v>-405162.32</v>
      </c>
      <c r="P21" s="8">
        <f t="shared" si="6"/>
        <v>-1</v>
      </c>
      <c r="Q21" s="21"/>
      <c r="R21" s="21"/>
      <c r="S21" s="21"/>
      <c r="T21" s="21"/>
      <c r="U21" s="21"/>
    </row>
    <row r="22" spans="1:21" ht="15" thickBot="1" x14ac:dyDescent="0.4">
      <c r="A22" s="5" t="s">
        <v>2</v>
      </c>
      <c r="B22" s="9">
        <v>834110.32</v>
      </c>
      <c r="C22" s="21"/>
      <c r="D22" s="6">
        <v>0</v>
      </c>
      <c r="E22" s="21"/>
      <c r="F22" s="7">
        <f t="shared" si="7"/>
        <v>-834110.32</v>
      </c>
      <c r="G22" s="21"/>
      <c r="H22" s="8">
        <f t="shared" si="4"/>
        <v>-1</v>
      </c>
      <c r="I22" s="21"/>
      <c r="J22" s="5" t="s">
        <v>2</v>
      </c>
      <c r="K22" s="21"/>
      <c r="L22" s="9">
        <v>398557.33</v>
      </c>
      <c r="M22" s="21"/>
      <c r="N22" s="6">
        <v>0</v>
      </c>
      <c r="O22" s="7">
        <f t="shared" si="5"/>
        <v>-398557.33</v>
      </c>
      <c r="P22" s="8">
        <f t="shared" si="6"/>
        <v>-1</v>
      </c>
      <c r="Q22" s="21"/>
      <c r="R22" s="21"/>
      <c r="S22" s="21"/>
      <c r="T22" s="21"/>
      <c r="U22" s="21"/>
    </row>
    <row r="23" spans="1:21" ht="15" thickBot="1" x14ac:dyDescent="0.4">
      <c r="A23" s="5" t="s">
        <v>3</v>
      </c>
      <c r="B23" s="9">
        <v>937488.27</v>
      </c>
      <c r="C23" s="21"/>
      <c r="D23" s="6">
        <v>0</v>
      </c>
      <c r="E23" s="21"/>
      <c r="F23" s="7">
        <f t="shared" si="7"/>
        <v>-937488.27</v>
      </c>
      <c r="G23" s="21"/>
      <c r="H23" s="8">
        <f t="shared" si="4"/>
        <v>-1</v>
      </c>
      <c r="I23" s="21"/>
      <c r="J23" s="5" t="s">
        <v>3</v>
      </c>
      <c r="K23" s="21"/>
      <c r="L23" s="9">
        <v>356602.93</v>
      </c>
      <c r="M23" s="21"/>
      <c r="N23" s="6">
        <v>0</v>
      </c>
      <c r="O23" s="7">
        <f t="shared" si="5"/>
        <v>-356602.93</v>
      </c>
      <c r="P23" s="8">
        <f t="shared" si="6"/>
        <v>-1</v>
      </c>
      <c r="Q23" s="21"/>
      <c r="R23" s="21"/>
      <c r="S23" s="21"/>
      <c r="T23" s="21"/>
      <c r="U23" s="21"/>
    </row>
    <row r="24" spans="1:21" ht="15" thickBot="1" x14ac:dyDescent="0.4">
      <c r="A24" s="5" t="s">
        <v>4</v>
      </c>
      <c r="B24" s="9">
        <v>911873.63</v>
      </c>
      <c r="C24" s="21"/>
      <c r="D24" s="6">
        <v>0</v>
      </c>
      <c r="E24" s="21"/>
      <c r="F24" s="7">
        <f t="shared" si="7"/>
        <v>-911873.63</v>
      </c>
      <c r="G24" s="21"/>
      <c r="H24" s="8">
        <f t="shared" si="4"/>
        <v>-1</v>
      </c>
      <c r="I24" s="21"/>
      <c r="J24" s="5" t="s">
        <v>4</v>
      </c>
      <c r="K24" s="21"/>
      <c r="L24" s="9">
        <v>398504.66</v>
      </c>
      <c r="M24" s="21"/>
      <c r="N24" s="6">
        <v>0</v>
      </c>
      <c r="O24" s="7">
        <f t="shared" si="5"/>
        <v>-398504.66</v>
      </c>
      <c r="P24" s="8">
        <f t="shared" si="6"/>
        <v>-1</v>
      </c>
      <c r="Q24" s="21"/>
      <c r="R24" s="21"/>
      <c r="S24" s="21"/>
      <c r="T24" s="21"/>
      <c r="U24" s="21"/>
    </row>
    <row r="25" spans="1:21" ht="15" thickBot="1" x14ac:dyDescent="0.4">
      <c r="A25" s="5" t="s">
        <v>5</v>
      </c>
      <c r="B25" s="9">
        <v>848730.38</v>
      </c>
      <c r="C25" s="21"/>
      <c r="D25" s="6">
        <v>0</v>
      </c>
      <c r="E25" s="21"/>
      <c r="F25" s="7">
        <f t="shared" si="7"/>
        <v>-848730.38</v>
      </c>
      <c r="G25" s="21"/>
      <c r="H25" s="8">
        <f t="shared" si="4"/>
        <v>-1</v>
      </c>
      <c r="I25" s="21"/>
      <c r="J25" s="5" t="s">
        <v>5</v>
      </c>
      <c r="K25" s="21"/>
      <c r="L25" s="9">
        <v>340459.98</v>
      </c>
      <c r="M25" s="21"/>
      <c r="N25" s="6">
        <v>0</v>
      </c>
      <c r="O25" s="7">
        <f t="shared" si="5"/>
        <v>-340459.98</v>
      </c>
      <c r="P25" s="8">
        <f t="shared" si="6"/>
        <v>-1</v>
      </c>
      <c r="Q25" s="21"/>
      <c r="R25" s="21"/>
      <c r="S25" s="21"/>
      <c r="T25" s="21"/>
      <c r="U25" s="21"/>
    </row>
    <row r="26" spans="1:21" ht="15" thickBot="1" x14ac:dyDescent="0.4">
      <c r="A26" s="5" t="s">
        <v>6</v>
      </c>
      <c r="B26" s="9">
        <v>974771.98</v>
      </c>
      <c r="C26" s="21"/>
      <c r="D26" s="6">
        <v>0</v>
      </c>
      <c r="E26" s="21"/>
      <c r="F26" s="7">
        <f t="shared" si="7"/>
        <v>-974771.98</v>
      </c>
      <c r="G26" s="21"/>
      <c r="H26" s="8">
        <f t="shared" si="4"/>
        <v>-1</v>
      </c>
      <c r="I26" s="21"/>
      <c r="J26" s="5" t="s">
        <v>6</v>
      </c>
      <c r="K26" s="21"/>
      <c r="L26" s="9">
        <v>482777.01</v>
      </c>
      <c r="M26" s="21"/>
      <c r="N26" s="6">
        <v>0</v>
      </c>
      <c r="O26" s="7">
        <f t="shared" si="5"/>
        <v>-482777.01</v>
      </c>
      <c r="P26" s="8">
        <f t="shared" si="6"/>
        <v>-1</v>
      </c>
      <c r="Q26" s="21"/>
      <c r="R26" s="21"/>
      <c r="S26" s="21"/>
      <c r="T26" s="21"/>
      <c r="U26" s="21"/>
    </row>
    <row r="27" spans="1:21" ht="15" thickBot="1" x14ac:dyDescent="0.4">
      <c r="A27" s="5" t="s">
        <v>7</v>
      </c>
      <c r="B27" s="9">
        <v>789468.9</v>
      </c>
      <c r="C27" s="21"/>
      <c r="D27" s="6">
        <v>0</v>
      </c>
      <c r="E27" s="21"/>
      <c r="F27" s="7">
        <f t="shared" si="7"/>
        <v>-789468.9</v>
      </c>
      <c r="G27" s="21"/>
      <c r="H27" s="8">
        <f t="shared" si="4"/>
        <v>-1</v>
      </c>
      <c r="I27" s="21"/>
      <c r="J27" s="5" t="s">
        <v>7</v>
      </c>
      <c r="K27" s="21"/>
      <c r="L27" s="9">
        <v>346092.32</v>
      </c>
      <c r="M27" s="21"/>
      <c r="N27" s="6">
        <v>0</v>
      </c>
      <c r="O27" s="7">
        <f t="shared" si="5"/>
        <v>-346092.32</v>
      </c>
      <c r="P27" s="8">
        <f t="shared" si="6"/>
        <v>-1</v>
      </c>
      <c r="Q27" s="21"/>
      <c r="R27" s="21"/>
      <c r="S27" s="21"/>
      <c r="T27" s="21"/>
      <c r="U27" s="21"/>
    </row>
    <row r="28" spans="1:21" ht="15" thickBot="1" x14ac:dyDescent="0.4">
      <c r="A28" s="5" t="s">
        <v>9</v>
      </c>
      <c r="B28" s="9">
        <v>759295.99</v>
      </c>
      <c r="C28" s="21"/>
      <c r="D28" s="6">
        <v>0</v>
      </c>
      <c r="E28" s="21"/>
      <c r="F28" s="7">
        <f t="shared" si="7"/>
        <v>-759295.99</v>
      </c>
      <c r="G28" s="21"/>
      <c r="H28" s="8">
        <f t="shared" si="4"/>
        <v>-1</v>
      </c>
      <c r="I28" s="21"/>
      <c r="J28" s="5" t="s">
        <v>9</v>
      </c>
      <c r="K28" s="21"/>
      <c r="L28" s="9">
        <v>495389.9</v>
      </c>
      <c r="M28" s="21"/>
      <c r="N28" s="6">
        <v>0</v>
      </c>
      <c r="O28" s="7">
        <f t="shared" si="5"/>
        <v>-495389.9</v>
      </c>
      <c r="P28" s="8">
        <f t="shared" si="6"/>
        <v>-1</v>
      </c>
      <c r="Q28" s="21"/>
      <c r="R28" s="21"/>
      <c r="S28" s="21"/>
      <c r="T28" s="21"/>
      <c r="U28" s="21"/>
    </row>
    <row r="29" spans="1:21" ht="15" thickBot="1" x14ac:dyDescent="0.4">
      <c r="A29" s="5" t="s">
        <v>10</v>
      </c>
      <c r="B29" s="9">
        <v>684751.26</v>
      </c>
      <c r="C29" s="21"/>
      <c r="D29" s="6">
        <v>0</v>
      </c>
      <c r="E29" s="21"/>
      <c r="F29" s="7">
        <f t="shared" si="7"/>
        <v>-684751.26</v>
      </c>
      <c r="G29" s="21"/>
      <c r="H29" s="8">
        <f t="shared" si="4"/>
        <v>-1</v>
      </c>
      <c r="I29" s="21"/>
      <c r="J29" s="5" t="s">
        <v>10</v>
      </c>
      <c r="K29" s="21"/>
      <c r="L29" s="9">
        <v>440542.65</v>
      </c>
      <c r="M29" s="21"/>
      <c r="N29" s="6">
        <v>0</v>
      </c>
      <c r="O29" s="7">
        <f t="shared" si="5"/>
        <v>-440542.65</v>
      </c>
      <c r="P29" s="8">
        <f t="shared" si="6"/>
        <v>-1</v>
      </c>
      <c r="Q29" s="21"/>
      <c r="R29" s="21"/>
      <c r="S29" s="21"/>
      <c r="T29" s="21"/>
      <c r="U29" s="21"/>
    </row>
    <row r="30" spans="1:21" ht="15" thickBot="1" x14ac:dyDescent="0.4">
      <c r="A30" s="5" t="s">
        <v>11</v>
      </c>
      <c r="B30" s="9">
        <v>745509.71</v>
      </c>
      <c r="C30" s="21"/>
      <c r="D30" s="6">
        <v>0</v>
      </c>
      <c r="E30" s="21"/>
      <c r="F30" s="7">
        <f t="shared" si="7"/>
        <v>-745509.71</v>
      </c>
      <c r="G30" s="21"/>
      <c r="H30" s="8">
        <f t="shared" si="4"/>
        <v>-1</v>
      </c>
      <c r="I30" s="21"/>
      <c r="J30" s="5" t="s">
        <v>11</v>
      </c>
      <c r="K30" s="21"/>
      <c r="L30" s="9">
        <v>344260.41</v>
      </c>
      <c r="M30" s="21"/>
      <c r="N30" s="6">
        <v>0</v>
      </c>
      <c r="O30" s="7">
        <f t="shared" si="5"/>
        <v>-344260.41</v>
      </c>
      <c r="P30" s="8">
        <f t="shared" si="6"/>
        <v>-1</v>
      </c>
      <c r="Q30" s="21"/>
      <c r="R30" s="21"/>
      <c r="S30" s="21"/>
      <c r="T30" s="21"/>
      <c r="U30" s="21"/>
    </row>
    <row r="31" spans="1:21" ht="4.5" customHeight="1" x14ac:dyDescent="0.35">
      <c r="A31" s="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 x14ac:dyDescent="0.35">
      <c r="A32" s="2"/>
      <c r="B32" s="3" t="s">
        <v>40</v>
      </c>
      <c r="C32" s="21"/>
      <c r="D32" s="4" t="s">
        <v>16</v>
      </c>
      <c r="E32" s="21"/>
      <c r="F32" s="21"/>
      <c r="G32" s="21"/>
      <c r="H32" s="21"/>
      <c r="I32" s="21"/>
      <c r="J32" s="21"/>
      <c r="K32" s="21"/>
      <c r="L32" s="3" t="s">
        <v>15</v>
      </c>
      <c r="M32" s="21"/>
      <c r="N32" s="4" t="s">
        <v>16</v>
      </c>
      <c r="O32" s="21"/>
      <c r="P32" s="21"/>
      <c r="Q32" s="21"/>
      <c r="R32" s="21"/>
      <c r="S32" s="21"/>
      <c r="T32" s="21"/>
      <c r="U32" s="21"/>
    </row>
    <row r="33" spans="1:21" ht="15" thickBot="1" x14ac:dyDescent="0.4">
      <c r="A33" s="2"/>
      <c r="B33" s="3" t="s">
        <v>41</v>
      </c>
      <c r="C33" s="21"/>
      <c r="D33" s="4" t="s">
        <v>17</v>
      </c>
      <c r="E33" s="21"/>
      <c r="F33" s="4" t="s">
        <v>13</v>
      </c>
      <c r="G33" s="21"/>
      <c r="H33" s="4" t="s">
        <v>14</v>
      </c>
      <c r="I33" s="21"/>
      <c r="J33" s="21"/>
      <c r="K33" s="21"/>
      <c r="L33" s="3" t="s">
        <v>45</v>
      </c>
      <c r="M33" s="21"/>
      <c r="N33" s="4" t="s">
        <v>17</v>
      </c>
      <c r="O33" s="4" t="s">
        <v>13</v>
      </c>
      <c r="P33" s="4" t="s">
        <v>14</v>
      </c>
      <c r="Q33" s="21"/>
      <c r="R33" s="21"/>
      <c r="S33" s="21"/>
      <c r="T33" s="21"/>
      <c r="U33" s="21"/>
    </row>
    <row r="34" spans="1:21" ht="15" thickBot="1" x14ac:dyDescent="0.4">
      <c r="A34" s="5" t="s">
        <v>0</v>
      </c>
      <c r="B34" s="9">
        <v>631944.6</v>
      </c>
      <c r="C34" s="21"/>
      <c r="D34" s="6">
        <v>661514</v>
      </c>
      <c r="E34" s="21"/>
      <c r="F34" s="7">
        <f>(D34-B34)</f>
        <v>29569.400000000023</v>
      </c>
      <c r="G34" s="21"/>
      <c r="H34" s="8">
        <f>F34/D34</f>
        <v>4.469958307760686E-2</v>
      </c>
      <c r="I34" s="21"/>
      <c r="J34" s="5" t="s">
        <v>0</v>
      </c>
      <c r="K34" s="21"/>
      <c r="L34" s="9">
        <v>220414.91</v>
      </c>
      <c r="M34" s="21"/>
      <c r="N34" s="6">
        <v>223858</v>
      </c>
      <c r="O34" s="7">
        <f>(N34-L34)</f>
        <v>3443.0899999999965</v>
      </c>
      <c r="P34" s="8">
        <f>O34/N34</f>
        <v>1.5380687757417633E-2</v>
      </c>
      <c r="Q34" s="21"/>
      <c r="R34" s="21"/>
      <c r="S34" s="21"/>
      <c r="T34" s="21"/>
      <c r="U34" s="21"/>
    </row>
    <row r="35" spans="1:21" ht="15" thickBot="1" x14ac:dyDescent="0.4">
      <c r="A35" s="5" t="s">
        <v>8</v>
      </c>
      <c r="B35" s="9">
        <v>668464.59</v>
      </c>
      <c r="C35" s="21"/>
      <c r="D35" s="6">
        <v>673501</v>
      </c>
      <c r="E35" s="21"/>
      <c r="F35" s="7">
        <f>(D35-B35)</f>
        <v>5036.4100000000326</v>
      </c>
      <c r="G35" s="21"/>
      <c r="H35" s="8">
        <f t="shared" ref="H35:H45" si="8">F35/D35</f>
        <v>7.4779547469120801E-3</v>
      </c>
      <c r="I35" s="21"/>
      <c r="J35" s="5" t="s">
        <v>8</v>
      </c>
      <c r="K35" s="21"/>
      <c r="L35" s="9">
        <v>189849.56</v>
      </c>
      <c r="M35" s="21"/>
      <c r="N35" s="6">
        <v>178972</v>
      </c>
      <c r="O35" s="7">
        <f t="shared" ref="O35:O45" si="9">(N35-L35)</f>
        <v>-10877.559999999998</v>
      </c>
      <c r="P35" s="8">
        <f t="shared" ref="P35:P45" si="10">O35/N35</f>
        <v>-6.0777998793107288E-2</v>
      </c>
      <c r="Q35" s="21"/>
      <c r="R35" s="21"/>
      <c r="S35" s="21"/>
      <c r="T35" s="21"/>
      <c r="U35" s="21"/>
    </row>
    <row r="36" spans="1:21" ht="15" thickBot="1" x14ac:dyDescent="0.4">
      <c r="A36" s="5" t="s">
        <v>1</v>
      </c>
      <c r="B36" s="9">
        <v>850235.46</v>
      </c>
      <c r="C36" s="21"/>
      <c r="D36" s="6">
        <v>0</v>
      </c>
      <c r="E36" s="21"/>
      <c r="F36" s="7">
        <f t="shared" ref="F36:F45" si="11">(D36-B36)</f>
        <v>-850235.46</v>
      </c>
      <c r="G36" s="21"/>
      <c r="H36" s="8" t="e">
        <f t="shared" si="8"/>
        <v>#DIV/0!</v>
      </c>
      <c r="I36" s="21"/>
      <c r="J36" s="5" t="s">
        <v>1</v>
      </c>
      <c r="K36" s="21"/>
      <c r="L36" s="9">
        <v>251845.11</v>
      </c>
      <c r="M36" s="21"/>
      <c r="N36" s="6">
        <v>0</v>
      </c>
      <c r="O36" s="7">
        <f t="shared" si="9"/>
        <v>-251845.11</v>
      </c>
      <c r="P36" s="8" t="e">
        <f t="shared" si="10"/>
        <v>#DIV/0!</v>
      </c>
      <c r="Q36" s="21"/>
      <c r="R36" s="21"/>
      <c r="S36" s="21"/>
      <c r="T36" s="21"/>
      <c r="U36" s="21"/>
    </row>
    <row r="37" spans="1:21" ht="15" thickBot="1" x14ac:dyDescent="0.4">
      <c r="A37" s="5" t="s">
        <v>2</v>
      </c>
      <c r="B37" s="9">
        <v>778503</v>
      </c>
      <c r="C37" s="21"/>
      <c r="D37" s="6">
        <v>0</v>
      </c>
      <c r="E37" s="21"/>
      <c r="F37" s="7">
        <f t="shared" si="11"/>
        <v>-778503</v>
      </c>
      <c r="G37" s="21"/>
      <c r="H37" s="8" t="e">
        <f t="shared" si="8"/>
        <v>#DIV/0!</v>
      </c>
      <c r="I37" s="21"/>
      <c r="J37" s="5" t="s">
        <v>2</v>
      </c>
      <c r="K37" s="21"/>
      <c r="L37" s="9">
        <v>202980.48000000001</v>
      </c>
      <c r="M37" s="21"/>
      <c r="N37" s="6">
        <v>0</v>
      </c>
      <c r="O37" s="7">
        <f t="shared" si="9"/>
        <v>-202980.48000000001</v>
      </c>
      <c r="P37" s="8" t="e">
        <f t="shared" si="10"/>
        <v>#DIV/0!</v>
      </c>
      <c r="Q37" s="21"/>
      <c r="R37" s="21"/>
      <c r="S37" s="21"/>
      <c r="T37" s="21"/>
      <c r="U37" s="21"/>
    </row>
    <row r="38" spans="1:21" ht="15" thickBot="1" x14ac:dyDescent="0.4">
      <c r="A38" s="5" t="s">
        <v>3</v>
      </c>
      <c r="B38" s="9">
        <v>849340.74</v>
      </c>
      <c r="C38" s="21"/>
      <c r="D38" s="6">
        <v>0</v>
      </c>
      <c r="E38" s="21"/>
      <c r="F38" s="7">
        <f t="shared" si="11"/>
        <v>-849340.74</v>
      </c>
      <c r="G38" s="21"/>
      <c r="H38" s="8" t="e">
        <f t="shared" si="8"/>
        <v>#DIV/0!</v>
      </c>
      <c r="I38" s="21"/>
      <c r="J38" s="5" t="s">
        <v>3</v>
      </c>
      <c r="K38" s="21"/>
      <c r="L38" s="9">
        <v>225205.11</v>
      </c>
      <c r="M38" s="21"/>
      <c r="N38" s="6">
        <v>0</v>
      </c>
      <c r="O38" s="7">
        <f t="shared" si="9"/>
        <v>-225205.11</v>
      </c>
      <c r="P38" s="8" t="e">
        <f t="shared" si="10"/>
        <v>#DIV/0!</v>
      </c>
      <c r="Q38" s="21"/>
      <c r="R38" s="21"/>
      <c r="S38" s="21"/>
      <c r="T38" s="21"/>
      <c r="U38" s="21"/>
    </row>
    <row r="39" spans="1:21" ht="15" thickBot="1" x14ac:dyDescent="0.4">
      <c r="A39" s="5" t="s">
        <v>4</v>
      </c>
      <c r="B39" s="9">
        <v>819821.1</v>
      </c>
      <c r="C39" s="21"/>
      <c r="D39" s="6">
        <v>0</v>
      </c>
      <c r="E39" s="21"/>
      <c r="F39" s="7">
        <f t="shared" si="11"/>
        <v>-819821.1</v>
      </c>
      <c r="G39" s="21"/>
      <c r="H39" s="8" t="e">
        <f t="shared" si="8"/>
        <v>#DIV/0!</v>
      </c>
      <c r="I39" s="21"/>
      <c r="J39" s="5" t="s">
        <v>4</v>
      </c>
      <c r="K39" s="21"/>
      <c r="L39" s="9">
        <v>227046.69</v>
      </c>
      <c r="M39" s="21"/>
      <c r="N39" s="6">
        <v>0</v>
      </c>
      <c r="O39" s="7">
        <f t="shared" si="9"/>
        <v>-227046.69</v>
      </c>
      <c r="P39" s="8" t="e">
        <f t="shared" si="10"/>
        <v>#DIV/0!</v>
      </c>
      <c r="Q39" s="21"/>
      <c r="R39" s="21"/>
      <c r="S39" s="21"/>
      <c r="T39" s="21"/>
      <c r="U39" s="21"/>
    </row>
    <row r="40" spans="1:21" ht="15" thickBot="1" x14ac:dyDescent="0.4">
      <c r="A40" s="5" t="s">
        <v>5</v>
      </c>
      <c r="B40" s="9">
        <v>756126.56</v>
      </c>
      <c r="C40" s="21"/>
      <c r="D40" s="6">
        <v>0</v>
      </c>
      <c r="E40" s="21"/>
      <c r="F40" s="7">
        <f t="shared" si="11"/>
        <v>-756126.56</v>
      </c>
      <c r="G40" s="21"/>
      <c r="H40" s="8" t="e">
        <f t="shared" si="8"/>
        <v>#DIV/0!</v>
      </c>
      <c r="I40" s="21"/>
      <c r="J40" s="5" t="s">
        <v>5</v>
      </c>
      <c r="K40" s="21"/>
      <c r="L40" s="9">
        <v>199803.59</v>
      </c>
      <c r="M40" s="21"/>
      <c r="N40" s="6">
        <v>0</v>
      </c>
      <c r="O40" s="7">
        <f t="shared" si="9"/>
        <v>-199803.59</v>
      </c>
      <c r="P40" s="8" t="e">
        <f t="shared" si="10"/>
        <v>#DIV/0!</v>
      </c>
      <c r="Q40" s="21"/>
      <c r="R40" s="21"/>
      <c r="S40" s="21"/>
      <c r="T40" s="21"/>
      <c r="U40" s="21"/>
    </row>
    <row r="41" spans="1:21" ht="15" thickBot="1" x14ac:dyDescent="0.4">
      <c r="A41" s="5" t="s">
        <v>6</v>
      </c>
      <c r="B41" s="9">
        <v>864278.79</v>
      </c>
      <c r="C41" s="21"/>
      <c r="D41" s="6">
        <v>0</v>
      </c>
      <c r="E41" s="21"/>
      <c r="F41" s="7">
        <f t="shared" si="11"/>
        <v>-864278.79</v>
      </c>
      <c r="G41" s="21"/>
      <c r="H41" s="8" t="e">
        <f t="shared" si="8"/>
        <v>#DIV/0!</v>
      </c>
      <c r="I41" s="21"/>
      <c r="J41" s="5" t="s">
        <v>6</v>
      </c>
      <c r="K41" s="21"/>
      <c r="L41" s="9">
        <v>244110.32</v>
      </c>
      <c r="M41" s="21"/>
      <c r="N41" s="6">
        <v>0</v>
      </c>
      <c r="O41" s="7">
        <f t="shared" si="9"/>
        <v>-244110.32</v>
      </c>
      <c r="P41" s="8" t="e">
        <f t="shared" si="10"/>
        <v>#DIV/0!</v>
      </c>
      <c r="Q41" s="21"/>
      <c r="R41" s="21"/>
      <c r="S41" s="21"/>
      <c r="T41" s="21"/>
      <c r="U41" s="21"/>
    </row>
    <row r="42" spans="1:21" ht="15" thickBot="1" x14ac:dyDescent="0.4">
      <c r="A42" s="5" t="s">
        <v>7</v>
      </c>
      <c r="B42" s="9">
        <v>753262.45</v>
      </c>
      <c r="C42" s="21"/>
      <c r="D42" s="6">
        <v>0</v>
      </c>
      <c r="E42" s="21"/>
      <c r="F42" s="7">
        <f t="shared" si="11"/>
        <v>-753262.45</v>
      </c>
      <c r="G42" s="21"/>
      <c r="H42" s="8" t="e">
        <f t="shared" si="8"/>
        <v>#DIV/0!</v>
      </c>
      <c r="I42" s="21"/>
      <c r="J42" s="5" t="s">
        <v>7</v>
      </c>
      <c r="K42" s="21"/>
      <c r="L42" s="9">
        <v>191574.73</v>
      </c>
      <c r="M42" s="21"/>
      <c r="N42" s="6">
        <v>0</v>
      </c>
      <c r="O42" s="7">
        <f t="shared" si="9"/>
        <v>-191574.73</v>
      </c>
      <c r="P42" s="8" t="e">
        <f t="shared" si="10"/>
        <v>#DIV/0!</v>
      </c>
      <c r="Q42" s="21"/>
      <c r="R42" s="21"/>
      <c r="S42" s="21"/>
      <c r="T42" s="21"/>
      <c r="U42" s="21"/>
    </row>
    <row r="43" spans="1:21" ht="15" thickBot="1" x14ac:dyDescent="0.4">
      <c r="A43" s="5" t="s">
        <v>9</v>
      </c>
      <c r="B43" s="9">
        <v>755832.96</v>
      </c>
      <c r="C43" s="21"/>
      <c r="D43" s="6">
        <v>0</v>
      </c>
      <c r="E43" s="21"/>
      <c r="F43" s="7">
        <f t="shared" si="11"/>
        <v>-755832.96</v>
      </c>
      <c r="G43" s="21"/>
      <c r="H43" s="8" t="e">
        <f t="shared" si="8"/>
        <v>#DIV/0!</v>
      </c>
      <c r="I43" s="21"/>
      <c r="J43" s="5" t="s">
        <v>9</v>
      </c>
      <c r="K43" s="21"/>
      <c r="L43" s="9">
        <v>320979.15999999997</v>
      </c>
      <c r="M43" s="21"/>
      <c r="N43" s="6">
        <v>0</v>
      </c>
      <c r="O43" s="7">
        <f t="shared" si="9"/>
        <v>-320979.15999999997</v>
      </c>
      <c r="P43" s="8" t="e">
        <f t="shared" si="10"/>
        <v>#DIV/0!</v>
      </c>
      <c r="Q43" s="21"/>
      <c r="R43" s="21"/>
      <c r="S43" s="21"/>
      <c r="T43" s="21"/>
      <c r="U43" s="21"/>
    </row>
    <row r="44" spans="1:21" ht="15" thickBot="1" x14ac:dyDescent="0.4">
      <c r="A44" s="5" t="s">
        <v>10</v>
      </c>
      <c r="B44" s="9">
        <v>702565.82</v>
      </c>
      <c r="C44" s="21"/>
      <c r="D44" s="6">
        <v>0</v>
      </c>
      <c r="E44" s="21"/>
      <c r="F44" s="7">
        <f t="shared" si="11"/>
        <v>-702565.82</v>
      </c>
      <c r="G44" s="21"/>
      <c r="H44" s="8" t="e">
        <f t="shared" si="8"/>
        <v>#DIV/0!</v>
      </c>
      <c r="I44" s="21"/>
      <c r="J44" s="5" t="s">
        <v>10</v>
      </c>
      <c r="K44" s="21"/>
      <c r="L44" s="9">
        <v>168341.38</v>
      </c>
      <c r="M44" s="21"/>
      <c r="N44" s="6">
        <v>0</v>
      </c>
      <c r="O44" s="7">
        <f t="shared" si="9"/>
        <v>-168341.38</v>
      </c>
      <c r="P44" s="8" t="e">
        <f t="shared" si="10"/>
        <v>#DIV/0!</v>
      </c>
      <c r="Q44" s="21"/>
      <c r="R44" s="21"/>
      <c r="S44" s="21"/>
      <c r="T44" s="21"/>
      <c r="U44" s="21"/>
    </row>
    <row r="45" spans="1:21" ht="15" thickBot="1" x14ac:dyDescent="0.4">
      <c r="A45" s="5" t="s">
        <v>11</v>
      </c>
      <c r="B45" s="9">
        <v>629368.85</v>
      </c>
      <c r="C45" s="21"/>
      <c r="D45" s="6">
        <v>0</v>
      </c>
      <c r="E45" s="21"/>
      <c r="F45" s="7">
        <f t="shared" si="11"/>
        <v>-629368.85</v>
      </c>
      <c r="G45" s="21"/>
      <c r="H45" s="8" t="e">
        <f t="shared" si="8"/>
        <v>#DIV/0!</v>
      </c>
      <c r="I45" s="21"/>
      <c r="J45" s="5" t="s">
        <v>11</v>
      </c>
      <c r="K45" s="21"/>
      <c r="L45" s="9">
        <v>158742.26</v>
      </c>
      <c r="M45" s="21"/>
      <c r="N45" s="6">
        <v>0</v>
      </c>
      <c r="O45" s="7">
        <f t="shared" si="9"/>
        <v>-158742.26</v>
      </c>
      <c r="P45" s="8" t="e">
        <f t="shared" si="10"/>
        <v>#DIV/0!</v>
      </c>
      <c r="Q45" s="21"/>
      <c r="R45" s="21"/>
      <c r="S45" s="21"/>
      <c r="T45" s="21"/>
      <c r="U45" s="21"/>
    </row>
    <row r="46" spans="1:21" x14ac:dyDescent="0.3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</sheetData>
  <pageMargins left="0" right="0" top="0.25" bottom="0" header="0.3" footer="0.05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B146-6D28-43AC-82A8-4BB4FF18B344}">
  <dimension ref="A1:L48"/>
  <sheetViews>
    <sheetView workbookViewId="0">
      <selection activeCell="D4" sqref="D4"/>
    </sheetView>
  </sheetViews>
  <sheetFormatPr defaultRowHeight="14.5" x14ac:dyDescent="0.35"/>
  <cols>
    <col min="1" max="1" width="5.26953125" customWidth="1"/>
    <col min="2" max="2" width="11.54296875" customWidth="1"/>
    <col min="3" max="3" width="15.7265625" customWidth="1"/>
    <col min="4" max="4" width="0.7265625" customWidth="1"/>
    <col min="5" max="5" width="15.7265625" customWidth="1"/>
    <col min="6" max="6" width="1.26953125" customWidth="1"/>
    <col min="7" max="7" width="15.7265625" customWidth="1"/>
    <col min="8" max="8" width="1.26953125" customWidth="1"/>
    <col min="9" max="9" width="15.7265625" customWidth="1"/>
    <col min="10" max="10" width="1.453125" customWidth="1"/>
    <col min="11" max="11" width="15.7265625" customWidth="1"/>
    <col min="12" max="12" width="1" customWidth="1"/>
  </cols>
  <sheetData>
    <row r="1" spans="1:12" ht="15" thickBot="1" x14ac:dyDescent="0.4">
      <c r="B1" s="24"/>
      <c r="C1" s="21"/>
      <c r="D1" s="21"/>
      <c r="E1" s="21"/>
      <c r="F1" s="21"/>
      <c r="G1" s="21"/>
      <c r="H1" s="21"/>
      <c r="I1" s="268" t="s">
        <v>38</v>
      </c>
      <c r="J1" s="268"/>
      <c r="K1" s="268"/>
      <c r="L1" s="268"/>
    </row>
    <row r="2" spans="1:12" ht="15" thickBot="1" x14ac:dyDescent="0.4">
      <c r="B2" s="24"/>
      <c r="C2" s="21"/>
      <c r="D2" s="21"/>
      <c r="E2" s="21"/>
      <c r="F2" s="21"/>
      <c r="G2" s="21"/>
      <c r="H2" s="21"/>
      <c r="I2" t="s">
        <v>39</v>
      </c>
      <c r="J2" s="18"/>
      <c r="K2" t="s">
        <v>39</v>
      </c>
      <c r="L2" s="21"/>
    </row>
    <row r="3" spans="1:12" ht="16" thickBot="1" x14ac:dyDescent="0.4">
      <c r="B3" s="15" t="s">
        <v>30</v>
      </c>
      <c r="C3" s="15"/>
      <c r="D3" s="15"/>
      <c r="E3" s="15"/>
      <c r="F3" s="271" t="s">
        <v>31</v>
      </c>
      <c r="G3" s="271"/>
      <c r="H3" s="271"/>
      <c r="I3" s="21"/>
      <c r="J3" s="21"/>
      <c r="K3" s="21"/>
      <c r="L3" s="21"/>
    </row>
    <row r="4" spans="1:12" ht="15" thickBot="1" x14ac:dyDescent="0.4">
      <c r="A4" s="22"/>
      <c r="B4" s="23"/>
      <c r="C4" s="11" t="s">
        <v>24</v>
      </c>
      <c r="D4" s="1"/>
      <c r="E4" s="12" t="s">
        <v>28</v>
      </c>
      <c r="F4" s="1"/>
      <c r="G4" s="12" t="s">
        <v>25</v>
      </c>
      <c r="H4" s="1"/>
      <c r="I4" s="12" t="s">
        <v>26</v>
      </c>
      <c r="J4" s="1"/>
      <c r="K4" s="11" t="s">
        <v>27</v>
      </c>
      <c r="L4" s="21"/>
    </row>
    <row r="5" spans="1:12" ht="16" thickBot="1" x14ac:dyDescent="0.5">
      <c r="B5" s="19" t="s">
        <v>18</v>
      </c>
      <c r="C5" s="20">
        <v>4</v>
      </c>
      <c r="E5" s="20">
        <v>3</v>
      </c>
      <c r="G5" s="20">
        <v>2</v>
      </c>
      <c r="I5" s="20">
        <v>0</v>
      </c>
      <c r="K5" s="14">
        <v>0</v>
      </c>
      <c r="L5" s="21"/>
    </row>
    <row r="6" spans="1:12" ht="16" thickBot="1" x14ac:dyDescent="0.5">
      <c r="B6" s="19" t="s">
        <v>19</v>
      </c>
      <c r="C6" s="20">
        <v>12</v>
      </c>
      <c r="E6" s="20">
        <v>9</v>
      </c>
      <c r="G6" s="20">
        <v>5</v>
      </c>
      <c r="I6" s="20">
        <v>2</v>
      </c>
      <c r="K6" s="14">
        <v>284.7</v>
      </c>
      <c r="L6" s="21"/>
    </row>
    <row r="7" spans="1:12" ht="16" thickBot="1" x14ac:dyDescent="0.5">
      <c r="B7" s="19" t="s">
        <v>20</v>
      </c>
      <c r="C7" s="20">
        <v>14</v>
      </c>
      <c r="E7" s="20">
        <v>10</v>
      </c>
      <c r="G7" s="20">
        <v>10</v>
      </c>
      <c r="I7" s="20">
        <v>3</v>
      </c>
      <c r="K7" s="14">
        <v>395.19</v>
      </c>
      <c r="L7" s="21"/>
    </row>
    <row r="8" spans="1:12" ht="16" thickBot="1" x14ac:dyDescent="0.5">
      <c r="B8" s="19" t="s">
        <v>21</v>
      </c>
      <c r="C8" s="20">
        <v>16</v>
      </c>
      <c r="E8" s="20">
        <v>15</v>
      </c>
      <c r="G8" s="20">
        <v>12</v>
      </c>
      <c r="I8" s="20">
        <v>5</v>
      </c>
      <c r="K8" s="14">
        <v>1303.5</v>
      </c>
      <c r="L8" s="21"/>
    </row>
    <row r="9" spans="1:12" ht="16" thickBot="1" x14ac:dyDescent="0.5">
      <c r="B9" s="19" t="s">
        <v>22</v>
      </c>
      <c r="C9" s="20">
        <v>6</v>
      </c>
      <c r="E9" s="20">
        <v>3</v>
      </c>
      <c r="G9" s="20">
        <v>3</v>
      </c>
      <c r="I9" s="20">
        <v>1</v>
      </c>
      <c r="K9" s="14">
        <v>56.75</v>
      </c>
      <c r="L9" s="21"/>
    </row>
    <row r="10" spans="1:12" ht="16" thickBot="1" x14ac:dyDescent="0.5">
      <c r="B10" s="19" t="s">
        <v>23</v>
      </c>
      <c r="C10" s="20">
        <v>0</v>
      </c>
      <c r="E10" s="20">
        <v>0</v>
      </c>
      <c r="G10" s="20">
        <v>0</v>
      </c>
      <c r="I10" s="20">
        <v>0</v>
      </c>
      <c r="K10" s="14">
        <v>0</v>
      </c>
      <c r="L10" s="21"/>
    </row>
    <row r="11" spans="1:12" ht="16" thickBot="1" x14ac:dyDescent="0.5">
      <c r="B11" s="10" t="s">
        <v>29</v>
      </c>
      <c r="C11" s="13">
        <f>SUM(C5:C10)</f>
        <v>52</v>
      </c>
      <c r="E11" s="13">
        <f>SUM(E5:E10)</f>
        <v>40</v>
      </c>
      <c r="G11" s="13">
        <f>SUM(G5:G10)</f>
        <v>32</v>
      </c>
      <c r="I11" s="13">
        <f>SUM(I5:I10)</f>
        <v>11</v>
      </c>
      <c r="K11" s="14">
        <f>SUM(K5:K10)</f>
        <v>2040.1399999999999</v>
      </c>
      <c r="L11" s="21"/>
    </row>
    <row r="12" spans="1:12" ht="16" thickBot="1" x14ac:dyDescent="0.4">
      <c r="B12" s="24"/>
      <c r="C12" s="21"/>
      <c r="E12" s="16">
        <f>E11/C11</f>
        <v>0.76923076923076927</v>
      </c>
      <c r="G12" s="16">
        <f>G11/C11</f>
        <v>0.61538461538461542</v>
      </c>
      <c r="I12" s="16">
        <f>I11/C11</f>
        <v>0.21153846153846154</v>
      </c>
      <c r="K12" s="17">
        <f>K11/C11</f>
        <v>39.233461538461533</v>
      </c>
      <c r="L12" s="21"/>
    </row>
    <row r="13" spans="1:12" x14ac:dyDescent="0.35">
      <c r="B13" s="24"/>
      <c r="C13" s="21"/>
      <c r="E13" s="1" t="s">
        <v>32</v>
      </c>
      <c r="G13" s="1" t="s">
        <v>33</v>
      </c>
      <c r="I13" s="1" t="s">
        <v>34</v>
      </c>
      <c r="K13" s="1" t="s">
        <v>35</v>
      </c>
      <c r="L13" s="21"/>
    </row>
    <row r="14" spans="1:12" ht="16" thickBot="1" x14ac:dyDescent="0.4">
      <c r="B14" s="15" t="s">
        <v>36</v>
      </c>
      <c r="C14" s="15"/>
      <c r="D14" s="15"/>
      <c r="E14" s="15"/>
      <c r="F14" s="271" t="s">
        <v>31</v>
      </c>
      <c r="G14" s="271"/>
      <c r="H14" s="271"/>
      <c r="I14" s="21"/>
      <c r="J14" s="21"/>
      <c r="K14" s="21"/>
      <c r="L14" s="21"/>
    </row>
    <row r="15" spans="1:12" ht="15" thickBot="1" x14ac:dyDescent="0.4">
      <c r="B15" s="23"/>
      <c r="C15" s="11" t="s">
        <v>24</v>
      </c>
      <c r="D15" s="1"/>
      <c r="E15" s="12" t="s">
        <v>28</v>
      </c>
      <c r="F15" s="1"/>
      <c r="G15" s="12" t="s">
        <v>25</v>
      </c>
      <c r="H15" s="1"/>
      <c r="I15" s="12" t="s">
        <v>26</v>
      </c>
      <c r="J15" s="1"/>
      <c r="K15" s="11" t="s">
        <v>27</v>
      </c>
      <c r="L15" s="21"/>
    </row>
    <row r="16" spans="1:12" ht="16" thickBot="1" x14ac:dyDescent="0.5">
      <c r="B16" s="19" t="s">
        <v>18</v>
      </c>
      <c r="C16" s="20">
        <v>2</v>
      </c>
      <c r="E16" s="20">
        <v>2</v>
      </c>
      <c r="G16" s="20">
        <v>1</v>
      </c>
      <c r="I16" s="20">
        <v>1</v>
      </c>
      <c r="K16" s="14">
        <v>206.5</v>
      </c>
      <c r="L16" s="21"/>
    </row>
    <row r="17" spans="2:12" ht="16" thickBot="1" x14ac:dyDescent="0.5">
      <c r="B17" s="19" t="s">
        <v>19</v>
      </c>
      <c r="C17" s="20">
        <v>13</v>
      </c>
      <c r="E17" s="20">
        <v>11</v>
      </c>
      <c r="G17" s="20">
        <v>7</v>
      </c>
      <c r="I17" s="20">
        <v>3</v>
      </c>
      <c r="K17" s="14">
        <v>354.9</v>
      </c>
      <c r="L17" s="21"/>
    </row>
    <row r="18" spans="2:12" ht="16" thickBot="1" x14ac:dyDescent="0.5">
      <c r="B18" s="19" t="s">
        <v>20</v>
      </c>
      <c r="C18" s="20">
        <v>13</v>
      </c>
      <c r="E18" s="20">
        <v>11</v>
      </c>
      <c r="G18" s="20">
        <v>9</v>
      </c>
      <c r="I18" s="20">
        <v>4</v>
      </c>
      <c r="K18" s="14">
        <v>405.19</v>
      </c>
      <c r="L18" s="21"/>
    </row>
    <row r="19" spans="2:12" ht="16" thickBot="1" x14ac:dyDescent="0.5">
      <c r="B19" s="19" t="s">
        <v>21</v>
      </c>
      <c r="C19" s="20">
        <v>17</v>
      </c>
      <c r="E19" s="20">
        <v>13</v>
      </c>
      <c r="G19" s="20">
        <v>13</v>
      </c>
      <c r="I19" s="20">
        <v>6</v>
      </c>
      <c r="K19" s="14">
        <v>1394.25</v>
      </c>
      <c r="L19" s="21"/>
    </row>
    <row r="20" spans="2:12" ht="16" thickBot="1" x14ac:dyDescent="0.5">
      <c r="B20" s="19" t="s">
        <v>22</v>
      </c>
      <c r="C20" s="20">
        <v>6</v>
      </c>
      <c r="E20" s="20">
        <v>4</v>
      </c>
      <c r="G20" s="20">
        <v>3</v>
      </c>
      <c r="I20" s="20">
        <v>0</v>
      </c>
      <c r="K20" s="14">
        <v>176.7</v>
      </c>
      <c r="L20" s="21"/>
    </row>
    <row r="21" spans="2:12" ht="16" thickBot="1" x14ac:dyDescent="0.5">
      <c r="B21" s="19" t="s">
        <v>23</v>
      </c>
      <c r="C21" s="20">
        <v>0</v>
      </c>
      <c r="E21" s="20">
        <v>0</v>
      </c>
      <c r="G21" s="20">
        <v>0</v>
      </c>
      <c r="I21" s="20">
        <v>0</v>
      </c>
      <c r="K21" s="14">
        <v>0</v>
      </c>
      <c r="L21" s="21"/>
    </row>
    <row r="22" spans="2:12" ht="16" thickBot="1" x14ac:dyDescent="0.5">
      <c r="B22" s="10" t="s">
        <v>29</v>
      </c>
      <c r="C22" s="13">
        <f>SUM(C16:C21)</f>
        <v>51</v>
      </c>
      <c r="E22" s="13">
        <f>SUM(E16:E21)</f>
        <v>41</v>
      </c>
      <c r="G22" s="13">
        <f>SUM(G16:G21)</f>
        <v>33</v>
      </c>
      <c r="I22" s="13">
        <f>SUM(I16:I21)</f>
        <v>14</v>
      </c>
      <c r="K22" s="14">
        <f>SUM(K16:K21)</f>
        <v>2537.54</v>
      </c>
      <c r="L22" s="21"/>
    </row>
    <row r="23" spans="2:12" ht="16" thickBot="1" x14ac:dyDescent="0.4">
      <c r="B23" s="24"/>
      <c r="C23" s="21"/>
      <c r="E23" s="16">
        <f>E22/C22</f>
        <v>0.80392156862745101</v>
      </c>
      <c r="G23" s="16">
        <f>G22/C22</f>
        <v>0.6470588235294118</v>
      </c>
      <c r="I23" s="16">
        <f>I22/C22</f>
        <v>0.27450980392156865</v>
      </c>
      <c r="K23" s="17">
        <f>K22/C22</f>
        <v>49.755686274509806</v>
      </c>
      <c r="L23" s="21"/>
    </row>
    <row r="24" spans="2:12" x14ac:dyDescent="0.35">
      <c r="B24" s="24"/>
      <c r="C24" s="21"/>
      <c r="E24" s="1" t="s">
        <v>32</v>
      </c>
      <c r="G24" s="1" t="s">
        <v>33</v>
      </c>
      <c r="I24" s="1" t="s">
        <v>34</v>
      </c>
      <c r="K24" s="1" t="s">
        <v>35</v>
      </c>
      <c r="L24" s="21"/>
    </row>
    <row r="25" spans="2:12" ht="15" thickBot="1" x14ac:dyDescent="0.4">
      <c r="B25" s="24"/>
      <c r="C25" s="21"/>
      <c r="D25" s="21"/>
      <c r="E25" s="21"/>
      <c r="F25" s="21"/>
      <c r="G25" s="21"/>
      <c r="H25" s="21"/>
      <c r="I25" s="268" t="s">
        <v>38</v>
      </c>
      <c r="J25" s="268"/>
      <c r="K25" s="268"/>
      <c r="L25" s="268"/>
    </row>
    <row r="26" spans="2:12" ht="16" thickBot="1" x14ac:dyDescent="0.4">
      <c r="B26" s="15" t="s">
        <v>30</v>
      </c>
      <c r="C26" s="15"/>
      <c r="D26" s="15"/>
      <c r="E26" s="15"/>
      <c r="F26" s="271" t="s">
        <v>37</v>
      </c>
      <c r="G26" s="271"/>
      <c r="H26" s="271"/>
      <c r="I26" t="s">
        <v>39</v>
      </c>
      <c r="J26" s="18"/>
      <c r="K26" t="s">
        <v>39</v>
      </c>
      <c r="L26" s="21"/>
    </row>
    <row r="27" spans="2:12" ht="15" thickBot="1" x14ac:dyDescent="0.4">
      <c r="B27" s="23"/>
      <c r="C27" s="11" t="s">
        <v>24</v>
      </c>
      <c r="D27" s="1"/>
      <c r="E27" s="12" t="s">
        <v>28</v>
      </c>
      <c r="F27" s="1"/>
      <c r="G27" s="12" t="s">
        <v>25</v>
      </c>
      <c r="H27" s="1"/>
      <c r="I27" s="12" t="s">
        <v>26</v>
      </c>
      <c r="J27" s="1"/>
      <c r="K27" s="11" t="s">
        <v>27</v>
      </c>
      <c r="L27" s="21"/>
    </row>
    <row r="28" spans="2:12" ht="16" thickBot="1" x14ac:dyDescent="0.5">
      <c r="B28" s="19" t="s">
        <v>18</v>
      </c>
      <c r="C28" s="20">
        <v>8</v>
      </c>
      <c r="E28" s="20">
        <v>6</v>
      </c>
      <c r="G28" s="20">
        <v>3</v>
      </c>
      <c r="I28" s="20">
        <v>1</v>
      </c>
      <c r="K28" s="14">
        <v>119.6</v>
      </c>
      <c r="L28" s="21"/>
    </row>
    <row r="29" spans="2:12" ht="16" thickBot="1" x14ac:dyDescent="0.5">
      <c r="B29" s="19" t="s">
        <v>19</v>
      </c>
      <c r="C29" s="20">
        <v>10</v>
      </c>
      <c r="E29" s="20">
        <v>8</v>
      </c>
      <c r="G29" s="20">
        <v>6</v>
      </c>
      <c r="I29" s="20">
        <v>2</v>
      </c>
      <c r="K29" s="14">
        <v>254.7</v>
      </c>
      <c r="L29" s="21"/>
    </row>
    <row r="30" spans="2:12" ht="16" thickBot="1" x14ac:dyDescent="0.5">
      <c r="B30" s="19" t="s">
        <v>20</v>
      </c>
      <c r="C30" s="20">
        <v>13</v>
      </c>
      <c r="E30" s="20">
        <v>9</v>
      </c>
      <c r="G30" s="20">
        <v>9</v>
      </c>
      <c r="I30" s="20">
        <v>3</v>
      </c>
      <c r="K30" s="14">
        <v>785.19</v>
      </c>
      <c r="L30" s="21"/>
    </row>
    <row r="31" spans="2:12" ht="16" thickBot="1" x14ac:dyDescent="0.5">
      <c r="B31" s="19" t="s">
        <v>21</v>
      </c>
      <c r="C31" s="20">
        <v>17</v>
      </c>
      <c r="E31" s="20">
        <v>14</v>
      </c>
      <c r="G31" s="20">
        <v>11</v>
      </c>
      <c r="I31" s="20">
        <v>5</v>
      </c>
      <c r="K31" s="14">
        <v>1024.5</v>
      </c>
      <c r="L31" s="21"/>
    </row>
    <row r="32" spans="2:12" ht="16" thickBot="1" x14ac:dyDescent="0.5">
      <c r="B32" s="19" t="s">
        <v>22</v>
      </c>
      <c r="C32" s="20">
        <v>7</v>
      </c>
      <c r="E32" s="20">
        <v>2</v>
      </c>
      <c r="G32" s="20">
        <v>1</v>
      </c>
      <c r="I32" s="20">
        <v>1</v>
      </c>
      <c r="K32" s="14">
        <v>656.85</v>
      </c>
      <c r="L32" s="21"/>
    </row>
    <row r="33" spans="2:12" ht="16" thickBot="1" x14ac:dyDescent="0.5">
      <c r="B33" s="19" t="s">
        <v>23</v>
      </c>
      <c r="C33" s="20">
        <v>0</v>
      </c>
      <c r="E33" s="20">
        <v>0</v>
      </c>
      <c r="G33" s="20">
        <v>0</v>
      </c>
      <c r="I33" s="20">
        <v>0</v>
      </c>
      <c r="K33" s="14">
        <v>0</v>
      </c>
      <c r="L33" s="21"/>
    </row>
    <row r="34" spans="2:12" ht="16" thickBot="1" x14ac:dyDescent="0.5">
      <c r="B34" s="10" t="s">
        <v>29</v>
      </c>
      <c r="C34" s="13">
        <f>SUM(C28:C33)</f>
        <v>55</v>
      </c>
      <c r="E34" s="13">
        <f>SUM(E28:E33)</f>
        <v>39</v>
      </c>
      <c r="G34" s="13">
        <f>SUM(G28:G33)</f>
        <v>30</v>
      </c>
      <c r="I34" s="13">
        <f>SUM(I28:I33)</f>
        <v>12</v>
      </c>
      <c r="K34" s="14">
        <f>SUM(K28:K33)</f>
        <v>2840.8399999999997</v>
      </c>
      <c r="L34" s="21"/>
    </row>
    <row r="35" spans="2:12" ht="16" thickBot="1" x14ac:dyDescent="0.4">
      <c r="B35" s="24"/>
      <c r="C35" s="21"/>
      <c r="E35" s="16">
        <f>E34/C34</f>
        <v>0.70909090909090911</v>
      </c>
      <c r="G35" s="16">
        <f>G34/C34</f>
        <v>0.54545454545454541</v>
      </c>
      <c r="I35" s="16">
        <f>I34/C34</f>
        <v>0.21818181818181817</v>
      </c>
      <c r="K35" s="17">
        <f>K34/C34</f>
        <v>51.651636363636356</v>
      </c>
      <c r="L35" s="21"/>
    </row>
    <row r="36" spans="2:12" x14ac:dyDescent="0.35">
      <c r="B36" s="24"/>
      <c r="C36" s="21"/>
      <c r="E36" s="1" t="s">
        <v>32</v>
      </c>
      <c r="G36" s="1" t="s">
        <v>33</v>
      </c>
      <c r="I36" s="1" t="s">
        <v>34</v>
      </c>
      <c r="K36" s="1" t="s">
        <v>35</v>
      </c>
      <c r="L36" s="21"/>
    </row>
    <row r="37" spans="2:12" ht="16" thickBot="1" x14ac:dyDescent="0.4">
      <c r="B37" s="15" t="s">
        <v>36</v>
      </c>
      <c r="C37" s="15"/>
      <c r="D37" s="15"/>
      <c r="E37" s="15"/>
      <c r="F37" s="271" t="s">
        <v>37</v>
      </c>
      <c r="G37" s="271"/>
      <c r="H37" s="271"/>
      <c r="I37" s="21"/>
      <c r="J37" s="21"/>
      <c r="K37" s="21"/>
      <c r="L37" s="21"/>
    </row>
    <row r="38" spans="2:12" ht="15" thickBot="1" x14ac:dyDescent="0.4">
      <c r="B38" s="23"/>
      <c r="C38" s="11" t="s">
        <v>24</v>
      </c>
      <c r="D38" s="1"/>
      <c r="E38" s="12" t="s">
        <v>28</v>
      </c>
      <c r="F38" s="1"/>
      <c r="G38" s="12" t="s">
        <v>25</v>
      </c>
      <c r="H38" s="1"/>
      <c r="I38" s="12" t="s">
        <v>26</v>
      </c>
      <c r="J38" s="1"/>
      <c r="K38" s="11" t="s">
        <v>27</v>
      </c>
      <c r="L38" s="21"/>
    </row>
    <row r="39" spans="2:12" ht="16" thickBot="1" x14ac:dyDescent="0.5">
      <c r="B39" s="19" t="s">
        <v>18</v>
      </c>
      <c r="C39" s="20">
        <v>3</v>
      </c>
      <c r="E39" s="20">
        <v>3</v>
      </c>
      <c r="G39" s="20">
        <v>1</v>
      </c>
      <c r="I39" s="20">
        <v>0</v>
      </c>
      <c r="K39" s="14">
        <v>0</v>
      </c>
      <c r="L39" s="21"/>
    </row>
    <row r="40" spans="2:12" ht="16" thickBot="1" x14ac:dyDescent="0.5">
      <c r="B40" s="19" t="s">
        <v>19</v>
      </c>
      <c r="C40" s="20">
        <v>10</v>
      </c>
      <c r="E40" s="20">
        <v>9</v>
      </c>
      <c r="G40" s="20">
        <v>5</v>
      </c>
      <c r="I40" s="20">
        <v>2</v>
      </c>
      <c r="K40" s="14">
        <v>385.7</v>
      </c>
      <c r="L40" s="21"/>
    </row>
    <row r="41" spans="2:12" ht="16" thickBot="1" x14ac:dyDescent="0.5">
      <c r="B41" s="19" t="s">
        <v>20</v>
      </c>
      <c r="C41" s="20">
        <v>12</v>
      </c>
      <c r="E41" s="20">
        <v>10</v>
      </c>
      <c r="G41" s="20">
        <v>9</v>
      </c>
      <c r="I41" s="20">
        <v>2</v>
      </c>
      <c r="K41" s="14">
        <v>367.19</v>
      </c>
      <c r="L41" s="21"/>
    </row>
    <row r="42" spans="2:12" ht="16" thickBot="1" x14ac:dyDescent="0.5">
      <c r="B42" s="19" t="s">
        <v>21</v>
      </c>
      <c r="C42" s="20">
        <v>15</v>
      </c>
      <c r="E42" s="20">
        <v>10</v>
      </c>
      <c r="G42" s="20">
        <v>8</v>
      </c>
      <c r="I42" s="20">
        <v>6</v>
      </c>
      <c r="K42" s="14">
        <v>1583.5</v>
      </c>
      <c r="L42" s="21"/>
    </row>
    <row r="43" spans="2:12" ht="16" thickBot="1" x14ac:dyDescent="0.5">
      <c r="B43" s="19" t="s">
        <v>22</v>
      </c>
      <c r="C43" s="20">
        <v>6</v>
      </c>
      <c r="E43" s="20">
        <v>3</v>
      </c>
      <c r="G43" s="20">
        <v>3</v>
      </c>
      <c r="I43" s="20">
        <v>1</v>
      </c>
      <c r="K43" s="14">
        <v>56.75</v>
      </c>
      <c r="L43" s="21"/>
    </row>
    <row r="44" spans="2:12" ht="16" thickBot="1" x14ac:dyDescent="0.5">
      <c r="B44" s="19" t="s">
        <v>23</v>
      </c>
      <c r="C44" s="20">
        <v>0</v>
      </c>
      <c r="E44" s="20">
        <v>0</v>
      </c>
      <c r="G44" s="20">
        <v>0</v>
      </c>
      <c r="I44" s="20">
        <v>0</v>
      </c>
      <c r="K44" s="14">
        <v>0</v>
      </c>
      <c r="L44" s="21"/>
    </row>
    <row r="45" spans="2:12" ht="16" thickBot="1" x14ac:dyDescent="0.5">
      <c r="B45" s="10" t="s">
        <v>29</v>
      </c>
      <c r="C45" s="13">
        <f>SUM(C39:C44)</f>
        <v>46</v>
      </c>
      <c r="E45" s="13">
        <f>SUM(E39:E44)</f>
        <v>35</v>
      </c>
      <c r="G45" s="13">
        <f>SUM(G39:G44)</f>
        <v>26</v>
      </c>
      <c r="I45" s="13">
        <f>SUM(I39:I44)</f>
        <v>11</v>
      </c>
      <c r="K45" s="14">
        <f>SUM(K39:K44)</f>
        <v>2393.14</v>
      </c>
      <c r="L45" s="21"/>
    </row>
    <row r="46" spans="2:12" ht="16" thickBot="1" x14ac:dyDescent="0.4">
      <c r="B46" s="24"/>
      <c r="C46" s="21"/>
      <c r="E46" s="16">
        <f>E45/C45</f>
        <v>0.76086956521739135</v>
      </c>
      <c r="G46" s="16">
        <f>G45/C45</f>
        <v>0.56521739130434778</v>
      </c>
      <c r="I46" s="16">
        <f>I45/C45</f>
        <v>0.2391304347826087</v>
      </c>
      <c r="K46" s="17">
        <f>K45/C45</f>
        <v>52.024782608695652</v>
      </c>
      <c r="L46" s="21"/>
    </row>
    <row r="47" spans="2:12" x14ac:dyDescent="0.35">
      <c r="B47" s="24"/>
      <c r="C47" s="21"/>
      <c r="E47" s="1" t="s">
        <v>32</v>
      </c>
      <c r="G47" s="1" t="s">
        <v>33</v>
      </c>
      <c r="I47" s="1" t="s">
        <v>34</v>
      </c>
      <c r="K47" s="1" t="s">
        <v>35</v>
      </c>
      <c r="L47" s="21"/>
    </row>
    <row r="48" spans="2:12" x14ac:dyDescent="0.35">
      <c r="B48" s="24"/>
      <c r="C48" s="21"/>
      <c r="D48" s="21"/>
      <c r="E48" s="21"/>
      <c r="F48" s="21"/>
      <c r="G48" s="21"/>
      <c r="H48" s="21"/>
      <c r="I48" s="21"/>
      <c r="J48" s="21"/>
      <c r="K48" s="21"/>
      <c r="L48" s="21"/>
    </row>
  </sheetData>
  <mergeCells count="6">
    <mergeCell ref="F3:H3"/>
    <mergeCell ref="F14:H14"/>
    <mergeCell ref="F26:H26"/>
    <mergeCell ref="F37:H37"/>
    <mergeCell ref="I1:L1"/>
    <mergeCell ref="I25:L25"/>
  </mergeCells>
  <pageMargins left="0.2" right="0.2" top="0.25" bottom="0.2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9572-F1E9-4FB4-A288-28A6BE467BD1}">
  <dimension ref="A1:J45"/>
  <sheetViews>
    <sheetView tabSelected="1" topLeftCell="A2" workbookViewId="0">
      <selection activeCell="H9" sqref="H9"/>
    </sheetView>
  </sheetViews>
  <sheetFormatPr defaultRowHeight="14.5" x14ac:dyDescent="0.35"/>
  <cols>
    <col min="1" max="1" width="17.7265625" customWidth="1"/>
    <col min="2" max="2" width="16.7265625" customWidth="1"/>
    <col min="3" max="4" width="12.7265625" customWidth="1"/>
    <col min="5" max="5" width="14.7265625" customWidth="1"/>
    <col min="6" max="6" width="10.7265625" customWidth="1"/>
    <col min="7" max="8" width="11.7265625" customWidth="1"/>
    <col min="9" max="9" width="10.7265625" customWidth="1"/>
    <col min="10" max="10" width="14.7265625" customWidth="1"/>
  </cols>
  <sheetData>
    <row r="1" spans="1:10" ht="15" thickBot="1" x14ac:dyDescent="0.4">
      <c r="A1" s="191" t="s">
        <v>80</v>
      </c>
      <c r="B1" s="223"/>
      <c r="C1" s="223"/>
      <c r="D1" s="223"/>
      <c r="E1" s="223"/>
      <c r="F1" s="223"/>
      <c r="G1" s="223"/>
      <c r="H1" s="223"/>
      <c r="I1" s="223"/>
      <c r="J1" s="192"/>
    </row>
    <row r="2" spans="1:10" ht="15" thickBot="1" x14ac:dyDescent="0.4">
      <c r="A2" s="91"/>
      <c r="B2" s="92" t="s">
        <v>81</v>
      </c>
      <c r="C2" s="93" t="s">
        <v>82</v>
      </c>
      <c r="D2" s="93" t="s">
        <v>83</v>
      </c>
      <c r="E2" s="93" t="s">
        <v>84</v>
      </c>
      <c r="F2" s="93" t="s">
        <v>85</v>
      </c>
      <c r="G2" s="126" t="s">
        <v>86</v>
      </c>
      <c r="H2" s="126" t="s">
        <v>84</v>
      </c>
      <c r="I2" s="126" t="s">
        <v>86</v>
      </c>
      <c r="J2" s="127" t="s">
        <v>87</v>
      </c>
    </row>
    <row r="3" spans="1:10" ht="15" thickBot="1" x14ac:dyDescent="0.4">
      <c r="A3" s="94" t="s">
        <v>88</v>
      </c>
      <c r="B3" s="95" t="s">
        <v>89</v>
      </c>
      <c r="C3" s="96" t="s">
        <v>90</v>
      </c>
      <c r="D3" s="96" t="s">
        <v>90</v>
      </c>
      <c r="E3" s="96" t="s">
        <v>91</v>
      </c>
      <c r="F3" s="96" t="s">
        <v>92</v>
      </c>
      <c r="G3" s="124" t="s">
        <v>93</v>
      </c>
      <c r="H3" s="124" t="s">
        <v>94</v>
      </c>
      <c r="I3" s="124" t="s">
        <v>95</v>
      </c>
      <c r="J3" s="125" t="s">
        <v>96</v>
      </c>
    </row>
    <row r="4" spans="1:10" ht="15" thickBot="1" x14ac:dyDescent="0.4">
      <c r="A4" s="97" t="s">
        <v>104</v>
      </c>
      <c r="B4" s="98" t="s">
        <v>102</v>
      </c>
      <c r="C4" s="99">
        <v>80</v>
      </c>
      <c r="D4" s="99">
        <v>8</v>
      </c>
      <c r="E4" s="100">
        <v>819.75</v>
      </c>
      <c r="F4" s="101">
        <f>D4/C4</f>
        <v>0.1</v>
      </c>
      <c r="G4" s="99">
        <v>16</v>
      </c>
      <c r="H4" s="100">
        <v>1640</v>
      </c>
      <c r="I4" s="102">
        <v>37</v>
      </c>
      <c r="J4" s="103">
        <v>3792.5</v>
      </c>
    </row>
    <row r="5" spans="1:10" ht="15" thickBot="1" x14ac:dyDescent="0.4">
      <c r="A5" s="104"/>
      <c r="B5" s="98" t="s">
        <v>107</v>
      </c>
      <c r="C5" s="99">
        <v>160</v>
      </c>
      <c r="D5" s="99">
        <v>15</v>
      </c>
      <c r="E5" s="100">
        <v>730</v>
      </c>
      <c r="F5" s="101">
        <f>D5/C5</f>
        <v>9.375E-2</v>
      </c>
      <c r="G5" s="99">
        <v>25</v>
      </c>
      <c r="H5" s="100">
        <v>1217.5999999999999</v>
      </c>
      <c r="I5" s="102">
        <v>81</v>
      </c>
      <c r="J5" s="103">
        <v>3946.32</v>
      </c>
    </row>
    <row r="6" spans="1:10" ht="15" thickBot="1" x14ac:dyDescent="0.4">
      <c r="A6" s="104"/>
      <c r="B6" s="98" t="s">
        <v>103</v>
      </c>
      <c r="C6" s="99">
        <v>160</v>
      </c>
      <c r="D6" s="99">
        <v>5</v>
      </c>
      <c r="E6" s="100">
        <v>450</v>
      </c>
      <c r="F6" s="101">
        <f>D6/C6</f>
        <v>3.125E-2</v>
      </c>
      <c r="G6" s="99">
        <v>11</v>
      </c>
      <c r="H6" s="100">
        <v>990</v>
      </c>
      <c r="I6" s="102">
        <v>55</v>
      </c>
      <c r="J6" s="103">
        <v>4950</v>
      </c>
    </row>
    <row r="7" spans="1:10" ht="1.5" customHeight="1" thickBot="1" x14ac:dyDescent="0.4">
      <c r="A7" s="106"/>
      <c r="B7" s="107"/>
      <c r="C7" s="108"/>
      <c r="D7" s="108"/>
      <c r="E7" s="109"/>
      <c r="F7" s="110"/>
      <c r="G7" s="108"/>
      <c r="H7" s="109"/>
      <c r="I7" s="110"/>
      <c r="J7" s="111"/>
    </row>
    <row r="8" spans="1:10" ht="15" thickBot="1" x14ac:dyDescent="0.4">
      <c r="A8" s="97" t="s">
        <v>105</v>
      </c>
      <c r="B8" s="98" t="s">
        <v>102</v>
      </c>
      <c r="C8" s="99">
        <v>80</v>
      </c>
      <c r="D8" s="99">
        <v>10</v>
      </c>
      <c r="E8" s="100">
        <v>300</v>
      </c>
      <c r="F8" s="101">
        <f>D8/C8</f>
        <v>0.125</v>
      </c>
      <c r="G8" s="99">
        <v>40</v>
      </c>
      <c r="H8" s="100">
        <v>2598</v>
      </c>
      <c r="I8" s="102">
        <v>87</v>
      </c>
      <c r="J8" s="103">
        <v>3167</v>
      </c>
    </row>
    <row r="9" spans="1:10" ht="15" thickBot="1" x14ac:dyDescent="0.4">
      <c r="A9" s="123"/>
      <c r="B9" s="98" t="s">
        <v>106</v>
      </c>
      <c r="C9" s="99">
        <v>240</v>
      </c>
      <c r="D9" s="99">
        <v>15</v>
      </c>
      <c r="E9" s="100">
        <v>1000</v>
      </c>
      <c r="F9" s="101">
        <f>D9/C9</f>
        <v>6.25E-2</v>
      </c>
      <c r="G9" s="99">
        <v>90</v>
      </c>
      <c r="H9" s="100">
        <v>3245</v>
      </c>
      <c r="I9" s="102">
        <v>121</v>
      </c>
      <c r="J9" s="103">
        <v>5097</v>
      </c>
    </row>
    <row r="10" spans="1:10" ht="1.5" customHeight="1" thickBot="1" x14ac:dyDescent="0.4">
      <c r="A10" s="106"/>
      <c r="B10" s="107"/>
      <c r="C10" s="108"/>
      <c r="D10" s="108"/>
      <c r="E10" s="109"/>
      <c r="F10" s="110"/>
      <c r="G10" s="108"/>
      <c r="H10" s="109"/>
      <c r="I10" s="110"/>
      <c r="J10" s="111"/>
    </row>
    <row r="11" spans="1:10" ht="15" thickBot="1" x14ac:dyDescent="0.4">
      <c r="A11" s="97" t="s">
        <v>108</v>
      </c>
      <c r="B11" s="98" t="s">
        <v>102</v>
      </c>
      <c r="C11" s="99">
        <v>80</v>
      </c>
      <c r="D11" s="99">
        <v>10</v>
      </c>
      <c r="E11" s="100">
        <v>298</v>
      </c>
      <c r="F11" s="101">
        <f>D11/C11</f>
        <v>0.125</v>
      </c>
      <c r="G11" s="99">
        <v>36</v>
      </c>
      <c r="H11" s="100">
        <v>2598</v>
      </c>
      <c r="I11" s="102">
        <v>87</v>
      </c>
      <c r="J11" s="103">
        <v>3167</v>
      </c>
    </row>
    <row r="12" spans="1:10" ht="15" thickBot="1" x14ac:dyDescent="0.4">
      <c r="A12" s="123"/>
      <c r="B12" s="98" t="s">
        <v>109</v>
      </c>
      <c r="C12" s="99">
        <v>160</v>
      </c>
      <c r="D12" s="99">
        <v>14</v>
      </c>
      <c r="E12" s="100">
        <v>1000</v>
      </c>
      <c r="F12" s="101">
        <f>D12/C12</f>
        <v>8.7499999999999994E-2</v>
      </c>
      <c r="G12" s="99">
        <v>90</v>
      </c>
      <c r="H12" s="100">
        <v>3245</v>
      </c>
      <c r="I12" s="102">
        <v>121</v>
      </c>
      <c r="J12" s="103">
        <v>5097</v>
      </c>
    </row>
    <row r="13" spans="1:10" ht="1.5" customHeight="1" thickBot="1" x14ac:dyDescent="0.4">
      <c r="A13" s="106"/>
      <c r="B13" s="107"/>
      <c r="C13" s="108"/>
      <c r="D13" s="108"/>
      <c r="E13" s="109"/>
      <c r="F13" s="110"/>
      <c r="G13" s="108"/>
      <c r="H13" s="109"/>
      <c r="I13" s="110"/>
      <c r="J13" s="111"/>
    </row>
    <row r="14" spans="1:10" ht="15" thickBot="1" x14ac:dyDescent="0.4">
      <c r="A14" s="97" t="s">
        <v>110</v>
      </c>
      <c r="B14" s="98" t="s">
        <v>102</v>
      </c>
      <c r="C14" s="99">
        <v>80</v>
      </c>
      <c r="D14" s="99">
        <v>10</v>
      </c>
      <c r="E14" s="100">
        <v>305</v>
      </c>
      <c r="F14" s="101">
        <f>D14/C14</f>
        <v>0.125</v>
      </c>
      <c r="G14" s="99">
        <v>37</v>
      </c>
      <c r="H14" s="100">
        <v>2598</v>
      </c>
      <c r="I14" s="102">
        <v>87</v>
      </c>
      <c r="J14" s="103">
        <v>3167</v>
      </c>
    </row>
    <row r="15" spans="1:10" ht="15" thickBot="1" x14ac:dyDescent="0.4">
      <c r="A15" s="104"/>
      <c r="B15" s="98" t="s">
        <v>111</v>
      </c>
      <c r="C15" s="99">
        <v>560</v>
      </c>
      <c r="D15" s="99">
        <v>45</v>
      </c>
      <c r="E15" s="100">
        <v>810</v>
      </c>
      <c r="F15" s="101">
        <f>D15/C15</f>
        <v>8.0357142857142863E-2</v>
      </c>
      <c r="G15" s="99">
        <v>90</v>
      </c>
      <c r="H15" s="100">
        <v>3245</v>
      </c>
      <c r="I15" s="102">
        <v>121</v>
      </c>
      <c r="J15" s="103">
        <v>5097</v>
      </c>
    </row>
    <row r="16" spans="1:10" ht="15" thickBot="1" x14ac:dyDescent="0.4">
      <c r="A16" s="105"/>
      <c r="B16" s="98" t="s">
        <v>112</v>
      </c>
      <c r="C16" s="99">
        <v>480</v>
      </c>
      <c r="D16" s="99">
        <v>42</v>
      </c>
      <c r="E16" s="100">
        <v>689</v>
      </c>
      <c r="F16" s="101">
        <f>D16/C16</f>
        <v>8.7499999999999994E-2</v>
      </c>
      <c r="G16" s="99">
        <v>90</v>
      </c>
      <c r="H16" s="100">
        <v>3245</v>
      </c>
      <c r="I16" s="102">
        <v>121</v>
      </c>
      <c r="J16" s="103">
        <v>5097</v>
      </c>
    </row>
    <row r="17" spans="1:10" ht="1.5" customHeight="1" thickBot="1" x14ac:dyDescent="0.4">
      <c r="A17" s="106"/>
      <c r="B17" s="107"/>
      <c r="C17" s="108"/>
      <c r="D17" s="108"/>
      <c r="E17" s="109"/>
      <c r="F17" s="110"/>
      <c r="G17" s="108"/>
      <c r="H17" s="109"/>
      <c r="I17" s="110"/>
      <c r="J17" s="111"/>
    </row>
    <row r="18" spans="1:10" ht="15" thickBot="1" x14ac:dyDescent="0.4">
      <c r="A18" s="97" t="s">
        <v>113</v>
      </c>
      <c r="B18" s="98" t="s">
        <v>102</v>
      </c>
      <c r="C18" s="99">
        <v>80</v>
      </c>
      <c r="D18" s="99">
        <v>5</v>
      </c>
      <c r="E18" s="100">
        <v>305</v>
      </c>
      <c r="F18" s="101">
        <f>D18/C18</f>
        <v>6.25E-2</v>
      </c>
      <c r="G18" s="99">
        <v>20</v>
      </c>
      <c r="H18" s="100">
        <v>1098</v>
      </c>
      <c r="I18" s="102">
        <v>85</v>
      </c>
      <c r="J18" s="103">
        <v>3067</v>
      </c>
    </row>
    <row r="19" spans="1:10" ht="15" thickBot="1" x14ac:dyDescent="0.4">
      <c r="A19" s="104"/>
      <c r="B19" s="98" t="s">
        <v>114</v>
      </c>
      <c r="C19" s="99">
        <v>80</v>
      </c>
      <c r="D19" s="99">
        <v>4</v>
      </c>
      <c r="E19" s="100">
        <v>267</v>
      </c>
      <c r="F19" s="101">
        <f>D19/C19</f>
        <v>0.05</v>
      </c>
      <c r="G19" s="99">
        <v>16</v>
      </c>
      <c r="H19" s="100">
        <v>1100</v>
      </c>
      <c r="I19" s="102">
        <v>86</v>
      </c>
      <c r="J19" s="103">
        <v>3068</v>
      </c>
    </row>
    <row r="20" spans="1:10" ht="1.5" customHeight="1" thickBot="1" x14ac:dyDescent="0.4">
      <c r="A20" s="106"/>
      <c r="B20" s="107"/>
      <c r="C20" s="108"/>
      <c r="D20" s="108"/>
      <c r="E20" s="109"/>
      <c r="F20" s="110"/>
      <c r="G20" s="108"/>
      <c r="H20" s="109"/>
      <c r="I20" s="110"/>
      <c r="J20" s="111"/>
    </row>
    <row r="21" spans="1:10" ht="15" thickBot="1" x14ac:dyDescent="0.4">
      <c r="A21" s="97" t="s">
        <v>115</v>
      </c>
      <c r="B21" s="98" t="s">
        <v>102</v>
      </c>
      <c r="C21" s="99">
        <v>80</v>
      </c>
      <c r="D21" s="99">
        <v>10</v>
      </c>
      <c r="E21" s="100">
        <v>330</v>
      </c>
      <c r="F21" s="101">
        <f>D21/C21</f>
        <v>0.125</v>
      </c>
      <c r="G21" s="99">
        <v>36</v>
      </c>
      <c r="H21" s="100">
        <v>2598</v>
      </c>
      <c r="I21" s="102">
        <v>87</v>
      </c>
      <c r="J21" s="103">
        <v>3167</v>
      </c>
    </row>
    <row r="22" spans="1:10" ht="15" thickBot="1" x14ac:dyDescent="0.4">
      <c r="A22" s="104"/>
      <c r="B22" s="98" t="s">
        <v>116</v>
      </c>
      <c r="C22" s="99">
        <v>960</v>
      </c>
      <c r="D22" s="99">
        <v>96</v>
      </c>
      <c r="E22" s="100">
        <v>2592</v>
      </c>
      <c r="F22" s="101">
        <f>D22/C22</f>
        <v>0.1</v>
      </c>
      <c r="G22" s="99">
        <v>90</v>
      </c>
      <c r="H22" s="100">
        <v>3245</v>
      </c>
      <c r="I22" s="102">
        <v>121</v>
      </c>
      <c r="J22" s="103">
        <v>5097</v>
      </c>
    </row>
    <row r="23" spans="1:10" ht="1.5" customHeight="1" thickBot="1" x14ac:dyDescent="0.4">
      <c r="A23" s="106"/>
      <c r="B23" s="107"/>
      <c r="C23" s="108"/>
      <c r="D23" s="108"/>
      <c r="E23" s="109"/>
      <c r="F23" s="110"/>
      <c r="G23" s="108"/>
      <c r="H23" s="109"/>
      <c r="I23" s="110"/>
      <c r="J23" s="111"/>
    </row>
    <row r="24" spans="1:10" ht="15" thickBot="1" x14ac:dyDescent="0.4">
      <c r="A24" s="97" t="s">
        <v>117</v>
      </c>
      <c r="B24" s="98" t="s">
        <v>102</v>
      </c>
      <c r="C24" s="99">
        <v>80</v>
      </c>
      <c r="D24" s="99">
        <v>10</v>
      </c>
      <c r="E24" s="100">
        <v>330</v>
      </c>
      <c r="F24" s="101">
        <f>D24/C24</f>
        <v>0.125</v>
      </c>
      <c r="G24" s="99">
        <v>36</v>
      </c>
      <c r="H24" s="100">
        <v>2598</v>
      </c>
      <c r="I24" s="102">
        <v>87</v>
      </c>
      <c r="J24" s="103">
        <v>3167</v>
      </c>
    </row>
    <row r="25" spans="1:10" ht="15" thickBot="1" x14ac:dyDescent="0.4">
      <c r="A25" s="104"/>
      <c r="B25" s="98" t="s">
        <v>118</v>
      </c>
      <c r="C25" s="99">
        <v>80</v>
      </c>
      <c r="D25" s="99">
        <v>4</v>
      </c>
      <c r="E25" s="100">
        <v>267</v>
      </c>
      <c r="F25" s="101">
        <f>D25/C25</f>
        <v>0.05</v>
      </c>
      <c r="G25" s="99">
        <v>16</v>
      </c>
      <c r="H25" s="100">
        <v>1100</v>
      </c>
      <c r="I25" s="102">
        <v>86</v>
      </c>
      <c r="J25" s="103">
        <v>3068</v>
      </c>
    </row>
    <row r="26" spans="1:10" ht="1.5" customHeight="1" thickBot="1" x14ac:dyDescent="0.4">
      <c r="A26" s="106"/>
      <c r="B26" s="107"/>
      <c r="C26" s="108"/>
      <c r="D26" s="108"/>
      <c r="E26" s="109"/>
      <c r="F26" s="110"/>
      <c r="G26" s="108"/>
      <c r="H26" s="109"/>
      <c r="I26" s="110"/>
      <c r="J26" s="111"/>
    </row>
    <row r="27" spans="1:10" ht="15" thickBot="1" x14ac:dyDescent="0.4">
      <c r="A27" s="97" t="s">
        <v>121</v>
      </c>
      <c r="B27" s="98" t="s">
        <v>97</v>
      </c>
      <c r="C27" s="99">
        <v>80</v>
      </c>
      <c r="D27" s="99">
        <v>10</v>
      </c>
      <c r="E27" s="100">
        <v>330</v>
      </c>
      <c r="F27" s="101">
        <f>D27/C27</f>
        <v>0.125</v>
      </c>
      <c r="G27" s="99">
        <v>36</v>
      </c>
      <c r="H27" s="100">
        <v>2598</v>
      </c>
      <c r="I27" s="102">
        <v>87</v>
      </c>
      <c r="J27" s="103">
        <v>3167</v>
      </c>
    </row>
    <row r="28" spans="1:10" ht="15" thickBot="1" x14ac:dyDescent="0.4">
      <c r="A28" s="105"/>
      <c r="B28" s="98" t="s">
        <v>122</v>
      </c>
      <c r="C28" s="99">
        <v>160</v>
      </c>
      <c r="D28" s="99">
        <v>25</v>
      </c>
      <c r="E28" s="100">
        <v>1000</v>
      </c>
      <c r="F28" s="101">
        <f>D28/C28</f>
        <v>0.15625</v>
      </c>
      <c r="G28" s="99">
        <v>90</v>
      </c>
      <c r="H28" s="100">
        <v>3245</v>
      </c>
      <c r="I28" s="102">
        <v>121</v>
      </c>
      <c r="J28" s="103">
        <v>5097</v>
      </c>
    </row>
    <row r="29" spans="1:10" ht="1.5" customHeight="1" thickBot="1" x14ac:dyDescent="0.4">
      <c r="A29" s="106"/>
      <c r="B29" s="107"/>
      <c r="C29" s="108"/>
      <c r="D29" s="108"/>
      <c r="E29" s="109"/>
      <c r="F29" s="110"/>
      <c r="G29" s="108"/>
      <c r="H29" s="109"/>
      <c r="I29" s="110"/>
      <c r="J29" s="111"/>
    </row>
    <row r="30" spans="1:10" ht="15" thickBot="1" x14ac:dyDescent="0.4">
      <c r="A30" s="97" t="s">
        <v>119</v>
      </c>
      <c r="B30" s="98" t="s">
        <v>102</v>
      </c>
      <c r="C30" s="99">
        <v>160</v>
      </c>
      <c r="D30" s="99">
        <v>0</v>
      </c>
      <c r="E30" s="100">
        <v>0</v>
      </c>
      <c r="F30" s="101">
        <f>D30/C30</f>
        <v>0</v>
      </c>
      <c r="G30" s="99">
        <v>0</v>
      </c>
      <c r="H30" s="100">
        <v>0</v>
      </c>
      <c r="I30" s="102">
        <v>0</v>
      </c>
      <c r="J30" s="103">
        <v>0</v>
      </c>
    </row>
    <row r="31" spans="1:10" ht="15" thickBot="1" x14ac:dyDescent="0.4">
      <c r="A31" s="105"/>
      <c r="B31" s="98" t="s">
        <v>120</v>
      </c>
      <c r="C31" s="99">
        <v>320</v>
      </c>
      <c r="D31" s="99">
        <v>21</v>
      </c>
      <c r="E31" s="100">
        <v>504</v>
      </c>
      <c r="F31" s="101">
        <f>D31/C31</f>
        <v>6.5625000000000003E-2</v>
      </c>
      <c r="G31" s="99">
        <v>79</v>
      </c>
      <c r="H31" s="100">
        <v>4014</v>
      </c>
      <c r="I31" s="102">
        <v>193</v>
      </c>
      <c r="J31" s="103">
        <v>9805</v>
      </c>
    </row>
    <row r="32" spans="1:10" ht="1.5" customHeight="1" thickBot="1" x14ac:dyDescent="0.4">
      <c r="A32" s="106"/>
      <c r="B32" s="107"/>
      <c r="C32" s="108"/>
      <c r="D32" s="108"/>
      <c r="E32" s="109"/>
      <c r="F32" s="110"/>
      <c r="G32" s="108"/>
      <c r="H32" s="109"/>
      <c r="I32" s="110"/>
      <c r="J32" s="111"/>
    </row>
    <row r="33" spans="1:10" ht="15" thickBot="1" x14ac:dyDescent="0.4">
      <c r="A33" s="279" t="s">
        <v>98</v>
      </c>
      <c r="B33" s="280"/>
      <c r="C33" s="184">
        <f>SUM(C4:C32)</f>
        <v>4160</v>
      </c>
      <c r="D33" s="184">
        <f>SUM(D4:D32)</f>
        <v>359</v>
      </c>
      <c r="E33" s="185">
        <f>SUM(E4:E32)</f>
        <v>12326.75</v>
      </c>
      <c r="F33" s="112"/>
      <c r="G33" s="184">
        <f>SUM(G4:G32)</f>
        <v>944</v>
      </c>
      <c r="H33" s="185">
        <f>SUM(H4:H32)</f>
        <v>46217.599999999999</v>
      </c>
      <c r="I33" s="184">
        <f>SUM(I4:I32)</f>
        <v>1871</v>
      </c>
      <c r="J33" s="186">
        <f>SUM(J4:J32)</f>
        <v>81280.820000000007</v>
      </c>
    </row>
    <row r="34" spans="1:10" ht="6" customHeight="1" thickBot="1" x14ac:dyDescent="0.4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ht="15" thickBot="1" x14ac:dyDescent="0.4">
      <c r="A35" s="276" t="s">
        <v>123</v>
      </c>
      <c r="B35" s="277"/>
      <c r="C35" s="277"/>
      <c r="D35" s="113" t="s">
        <v>124</v>
      </c>
      <c r="E35" s="21"/>
      <c r="F35" s="276" t="s">
        <v>130</v>
      </c>
      <c r="G35" s="277"/>
      <c r="H35" s="277"/>
      <c r="I35" s="278"/>
      <c r="J35" s="113" t="s">
        <v>131</v>
      </c>
    </row>
    <row r="36" spans="1:10" ht="15" thickBot="1" x14ac:dyDescent="0.4">
      <c r="A36" s="94" t="s">
        <v>88</v>
      </c>
      <c r="B36" s="114" t="s">
        <v>99</v>
      </c>
      <c r="C36" s="115" t="s">
        <v>127</v>
      </c>
      <c r="D36" s="113" t="s">
        <v>101</v>
      </c>
      <c r="E36" s="21"/>
      <c r="F36" s="191" t="s">
        <v>88</v>
      </c>
      <c r="G36" s="192"/>
      <c r="H36" s="117" t="s">
        <v>100</v>
      </c>
      <c r="I36" s="116" t="s">
        <v>132</v>
      </c>
      <c r="J36" s="113" t="s">
        <v>148</v>
      </c>
    </row>
    <row r="37" spans="1:10" ht="15" thickBot="1" x14ac:dyDescent="0.4">
      <c r="A37" s="118" t="s">
        <v>125</v>
      </c>
      <c r="B37" s="119">
        <f>2144.17+2192.62+2375.01+2536.6+2424.21+1911.66+1417.99+2119.46+2265.91+2092.65+1617.62+1454.87+2177.95+2290.19+2229.2+2295.5+2262.02+630.3+242.87+26.4+544.49+2185.66+2346.12</f>
        <v>41783.470000000008</v>
      </c>
      <c r="C37" s="119">
        <v>996038</v>
      </c>
      <c r="D37" s="128">
        <f>C37/B37</f>
        <v>23.838087167006471</v>
      </c>
      <c r="E37" s="21"/>
      <c r="F37" s="274" t="s">
        <v>125</v>
      </c>
      <c r="G37" s="275"/>
      <c r="H37" s="121">
        <v>23535698.329999998</v>
      </c>
      <c r="I37" s="119">
        <f>2144.17+2192.62+2375.01+2536.6+2424.21+1911.66+1417.99+2119.46+2265.91+2092.65+1617.62+1454.87+2177.95+2290.19+2229.2+2295.5+2262.02+630.3+242.87+26.4+544.49+2185.66+2346.12</f>
        <v>41783.470000000008</v>
      </c>
      <c r="J37" s="120">
        <f>H37/I37</f>
        <v>563.27773471183684</v>
      </c>
    </row>
    <row r="38" spans="1:10" ht="6" customHeight="1" thickBot="1" x14ac:dyDescent="0.4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 ht="15" thickBot="1" x14ac:dyDescent="0.4">
      <c r="A39" s="276" t="s">
        <v>123</v>
      </c>
      <c r="B39" s="277"/>
      <c r="C39" s="277"/>
      <c r="D39" s="122" t="s">
        <v>124</v>
      </c>
      <c r="E39" s="21"/>
      <c r="F39" s="276" t="s">
        <v>149</v>
      </c>
      <c r="G39" s="277"/>
      <c r="H39" s="277"/>
      <c r="I39" s="278"/>
      <c r="J39" s="129" t="s">
        <v>131</v>
      </c>
    </row>
    <row r="40" spans="1:10" ht="15" thickBot="1" x14ac:dyDescent="0.4">
      <c r="A40" s="94" t="s">
        <v>88</v>
      </c>
      <c r="B40" s="114" t="s">
        <v>99</v>
      </c>
      <c r="C40" s="115" t="s">
        <v>127</v>
      </c>
      <c r="D40" s="113" t="s">
        <v>101</v>
      </c>
      <c r="E40" s="21"/>
      <c r="F40" s="191" t="s">
        <v>88</v>
      </c>
      <c r="G40" s="192"/>
      <c r="H40" s="117" t="s">
        <v>100</v>
      </c>
      <c r="I40" s="116" t="s">
        <v>132</v>
      </c>
      <c r="J40" s="129" t="s">
        <v>148</v>
      </c>
    </row>
    <row r="41" spans="1:10" ht="15" thickBot="1" x14ac:dyDescent="0.4">
      <c r="A41" s="118" t="s">
        <v>126</v>
      </c>
      <c r="B41" s="119">
        <f>2106.98+2321.6+2214.53+1922.91+1362.41+1863.3+2078.01+1510.15+2331.75+2213.09+2271.05+2305.25+2163.43+1991.6+2522.83+2482.43+2044.26+2434.32</f>
        <v>38139.9</v>
      </c>
      <c r="C41" s="119">
        <v>996038</v>
      </c>
      <c r="D41" s="128">
        <f>C41/B41</f>
        <v>26.11538048080881</v>
      </c>
      <c r="E41" s="21"/>
      <c r="F41" s="274" t="s">
        <v>126</v>
      </c>
      <c r="G41" s="275"/>
      <c r="H41" s="121">
        <v>14890807.369999999</v>
      </c>
      <c r="I41" s="119">
        <f>2106.98+2321.6+2214.53+1922.91+1362.41+1863.3+2078.01+1510.15+2331.75+2213.09+2271.05+2305.25+2163.43+1991.6+2522.83+2482.43+2044.26+2434.32</f>
        <v>38139.9</v>
      </c>
      <c r="J41" s="120">
        <f>H41/I41</f>
        <v>390.4259678184788</v>
      </c>
    </row>
    <row r="42" spans="1:10" ht="6" customHeight="1" thickBot="1" x14ac:dyDescent="0.4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ht="15" thickBot="1" x14ac:dyDescent="0.4">
      <c r="A43" s="276" t="s">
        <v>123</v>
      </c>
      <c r="B43" s="277"/>
      <c r="C43" s="277"/>
      <c r="D43" s="122" t="s">
        <v>124</v>
      </c>
      <c r="E43" s="21"/>
      <c r="F43" s="276" t="s">
        <v>130</v>
      </c>
      <c r="G43" s="277"/>
      <c r="H43" s="277"/>
      <c r="I43" s="278"/>
      <c r="J43" s="129" t="s">
        <v>131</v>
      </c>
    </row>
    <row r="44" spans="1:10" ht="15" thickBot="1" x14ac:dyDescent="0.4">
      <c r="A44" s="94" t="s">
        <v>128</v>
      </c>
      <c r="B44" s="114" t="s">
        <v>99</v>
      </c>
      <c r="C44" s="115" t="s">
        <v>127</v>
      </c>
      <c r="D44" s="113" t="s">
        <v>101</v>
      </c>
      <c r="E44" s="21"/>
      <c r="F44" s="191" t="s">
        <v>128</v>
      </c>
      <c r="G44" s="192"/>
      <c r="H44" s="117" t="s">
        <v>100</v>
      </c>
      <c r="I44" s="116" t="s">
        <v>132</v>
      </c>
      <c r="J44" s="129" t="s">
        <v>148</v>
      </c>
    </row>
    <row r="45" spans="1:10" ht="15" thickBot="1" x14ac:dyDescent="0.4">
      <c r="A45" s="118" t="s">
        <v>129</v>
      </c>
      <c r="B45" s="119">
        <f>2144.17+2192.62+2375.01+2536.6+2424.21+1911.66+1417.99+2119.46+2265.91+2092.65+1617.62+1454.87+2177.95+2290.19+2229.2+2295.5+2262.02+630.3+242.87+26.4+544.49+2185.66+2346.12+2281.01+2211.21+2514.1+2135.25+2382+2424.21+2340.07+2452.28+2307.17+2219.29+959.15+1918.88+2106.98+2321.6+2214.53+1922.91+1362.41+1863.3+2078.01+1510.15+2331.75+2213.09+2271.05+2305.25+2163.43+1991.6+2522.83+2482.43+2044.26+2434.32</f>
        <v>106067.99</v>
      </c>
      <c r="C45" s="119">
        <v>996038</v>
      </c>
      <c r="D45" s="128">
        <f>C45/B45</f>
        <v>9.3905616576688207</v>
      </c>
      <c r="E45" s="21"/>
      <c r="F45" s="272" t="s">
        <v>129</v>
      </c>
      <c r="G45" s="273"/>
      <c r="H45" s="121">
        <v>23535698.329999998</v>
      </c>
      <c r="I45" s="119">
        <f>2144.17+2192.62+2375.01+2536.6+2424.21+1911.66+1417.99+2119.46+2265.91+2092.65+1617.62+1454.87+2177.95+2290.19+2229.2+2295.5+2262.02+630.3+242.87+26.4+544.49+2185.66+2346.12+2281.01+2211.21+2514.1+2135.25+2382+2424.21+2340.07+2452.28+2307.17+2219.29+959.15+1918.88+2106.98+2321.6+2214.53+1922.91+1362.41+1863.3+2078.01+1510.15+2331.75+2213.09+2271.05+2305.25+2163.43+1991.6+2522.83+2482.43+2044.26+2434.32</f>
        <v>106067.99</v>
      </c>
      <c r="J45" s="120">
        <f>H45/I45</f>
        <v>221.89256466536224</v>
      </c>
    </row>
  </sheetData>
  <mergeCells count="14">
    <mergeCell ref="F36:G36"/>
    <mergeCell ref="A1:J1"/>
    <mergeCell ref="A33:B33"/>
    <mergeCell ref="A35:C35"/>
    <mergeCell ref="F35:I35"/>
    <mergeCell ref="F44:G44"/>
    <mergeCell ref="F45:G45"/>
    <mergeCell ref="F37:G37"/>
    <mergeCell ref="A39:C39"/>
    <mergeCell ref="F39:I39"/>
    <mergeCell ref="F40:G40"/>
    <mergeCell ref="F41:G41"/>
    <mergeCell ref="A43:C43"/>
    <mergeCell ref="F43:I43"/>
  </mergeCells>
  <pageMargins left="0" right="0" top="0.7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Steiner - Weekly Cash Position</vt:lpstr>
      <vt:lpstr>Ops Report - Inventory, BO, etc</vt:lpstr>
      <vt:lpstr>Budget vs. Actual</vt:lpstr>
      <vt:lpstr>Contact of "Old" Dealers</vt:lpstr>
      <vt:lpstr>Ops Report - OT &amp;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</dc:creator>
  <cp:lastModifiedBy>Joseph Pfeiffer</cp:lastModifiedBy>
  <cp:lastPrinted>2018-03-08T15:38:46Z</cp:lastPrinted>
  <dcterms:created xsi:type="dcterms:W3CDTF">2018-02-26T18:08:29Z</dcterms:created>
  <dcterms:modified xsi:type="dcterms:W3CDTF">2018-04-25T00:56:30Z</dcterms:modified>
</cp:coreProperties>
</file>