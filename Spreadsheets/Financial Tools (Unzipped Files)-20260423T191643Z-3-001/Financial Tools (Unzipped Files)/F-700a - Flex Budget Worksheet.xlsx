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FSBDC\Operations Manual\Financial Tools\"/>
    </mc:Choice>
  </mc:AlternateContent>
  <xr:revisionPtr revIDLastSave="0" documentId="13_ncr:1_{7EA58389-34C5-4238-A600-29E1F46E155E}" xr6:coauthVersionLast="45" xr6:coauthVersionMax="45" xr10:uidLastSave="{00000000-0000-0000-0000-000000000000}"/>
  <bookViews>
    <workbookView xWindow="-108" yWindow="-108" windowWidth="23256" windowHeight="12576" activeTab="1" xr2:uid="{EDCCB8DC-1607-4D26-A1D1-74059221E883}"/>
  </bookViews>
  <sheets>
    <sheet name="Annual Budget" sheetId="1" r:id="rId1"/>
    <sheet name="Monthly Budget" sheetId="2" r:id="rId2"/>
  </sheets>
  <externalReferences>
    <externalReference r:id="rId3"/>
  </externalReferences>
  <definedNames>
    <definedName name="growth">[1]Variables!$C$4</definedName>
    <definedName name="Inflation">[1]Variables!$C$5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8" i="2" l="1"/>
  <c r="J28" i="2"/>
  <c r="J40" i="2"/>
  <c r="J52" i="2"/>
  <c r="J62" i="2"/>
  <c r="J72" i="2"/>
  <c r="E22" i="2"/>
  <c r="E30" i="2"/>
  <c r="E40" i="2"/>
  <c r="E72" i="2"/>
  <c r="H11" i="2"/>
  <c r="J11" i="2"/>
  <c r="J21" i="2" s="1"/>
  <c r="P11" i="2"/>
  <c r="G10" i="2"/>
  <c r="F11" i="2" s="1"/>
  <c r="H10" i="2"/>
  <c r="G11" i="2" s="1"/>
  <c r="I10" i="2"/>
  <c r="J10" i="2"/>
  <c r="I11" i="2" s="1"/>
  <c r="K10" i="2"/>
  <c r="L10" i="2"/>
  <c r="M10" i="2"/>
  <c r="L11" i="2" s="1"/>
  <c r="N10" i="2"/>
  <c r="M11" i="2" s="1"/>
  <c r="O10" i="2"/>
  <c r="N11" i="2" s="1"/>
  <c r="P10" i="2"/>
  <c r="O11" i="2" s="1"/>
  <c r="F10" i="2"/>
  <c r="E11" i="2" s="1"/>
  <c r="E64" i="2" s="1"/>
  <c r="Q10" i="2"/>
  <c r="R10" i="2"/>
  <c r="K11" i="2" s="1"/>
  <c r="S10" i="2"/>
  <c r="B9" i="2"/>
  <c r="B31" i="2"/>
  <c r="B74" i="2"/>
  <c r="B75" i="2"/>
  <c r="F46" i="1"/>
  <c r="G46" i="1" s="1"/>
  <c r="F45" i="1"/>
  <c r="G45" i="1" s="1"/>
  <c r="F29" i="1"/>
  <c r="G29" i="1"/>
  <c r="F22" i="1"/>
  <c r="G22" i="1"/>
  <c r="F23" i="1"/>
  <c r="F24" i="1"/>
  <c r="G24" i="1"/>
  <c r="F25" i="1"/>
  <c r="G25" i="1"/>
  <c r="F26" i="1"/>
  <c r="G26" i="1" s="1"/>
  <c r="F27" i="1"/>
  <c r="G27" i="1"/>
  <c r="F28" i="1"/>
  <c r="G28" i="1"/>
  <c r="F21" i="1"/>
  <c r="G21" i="1"/>
  <c r="G23" i="1"/>
  <c r="F43" i="1"/>
  <c r="G43" i="1" s="1"/>
  <c r="F85" i="1"/>
  <c r="G85" i="1" s="1"/>
  <c r="F86" i="1"/>
  <c r="G86" i="1" s="1"/>
  <c r="F87" i="1"/>
  <c r="G87" i="1"/>
  <c r="F88" i="1"/>
  <c r="G88" i="1" s="1"/>
  <c r="F90" i="1"/>
  <c r="G90" i="1" s="1"/>
  <c r="F44" i="1"/>
  <c r="G44" i="1" s="1"/>
  <c r="F47" i="1"/>
  <c r="G47" i="1"/>
  <c r="H47" i="1" s="1"/>
  <c r="F48" i="1"/>
  <c r="G48" i="1" s="1"/>
  <c r="F49" i="1"/>
  <c r="G49" i="1" s="1"/>
  <c r="F50" i="1"/>
  <c r="G50" i="1" s="1"/>
  <c r="F51" i="1"/>
  <c r="G51" i="1"/>
  <c r="F52" i="1"/>
  <c r="G52" i="1" s="1"/>
  <c r="F53" i="1"/>
  <c r="G53" i="1" s="1"/>
  <c r="F54" i="1"/>
  <c r="G54" i="1" s="1"/>
  <c r="H54" i="1" s="1"/>
  <c r="F55" i="1"/>
  <c r="G55" i="1"/>
  <c r="F56" i="1"/>
  <c r="G56" i="1" s="1"/>
  <c r="F57" i="1"/>
  <c r="G57" i="1" s="1"/>
  <c r="F58" i="1"/>
  <c r="G58" i="1" s="1"/>
  <c r="F59" i="1"/>
  <c r="G59" i="1"/>
  <c r="F60" i="1"/>
  <c r="G60" i="1" s="1"/>
  <c r="H60" i="1" s="1"/>
  <c r="F61" i="1"/>
  <c r="G61" i="1" s="1"/>
  <c r="F62" i="1"/>
  <c r="G62" i="1" s="1"/>
  <c r="F63" i="1"/>
  <c r="G63" i="1"/>
  <c r="F64" i="1"/>
  <c r="G64" i="1" s="1"/>
  <c r="F65" i="1"/>
  <c r="G65" i="1" s="1"/>
  <c r="F66" i="1"/>
  <c r="G66" i="1" s="1"/>
  <c r="F67" i="1"/>
  <c r="G67" i="1"/>
  <c r="F68" i="1"/>
  <c r="G68" i="1" s="1"/>
  <c r="F69" i="1"/>
  <c r="G69" i="1" s="1"/>
  <c r="F70" i="1"/>
  <c r="G70" i="1" s="1"/>
  <c r="F71" i="1"/>
  <c r="G71" i="1"/>
  <c r="F72" i="1"/>
  <c r="G72" i="1" s="1"/>
  <c r="F73" i="1"/>
  <c r="G73" i="1" s="1"/>
  <c r="H73" i="1" s="1"/>
  <c r="F74" i="1"/>
  <c r="G74" i="1" s="1"/>
  <c r="F75" i="1"/>
  <c r="G75" i="1"/>
  <c r="F76" i="1"/>
  <c r="G76" i="1" s="1"/>
  <c r="F77" i="1"/>
  <c r="G77" i="1" s="1"/>
  <c r="F78" i="1"/>
  <c r="G78" i="1" s="1"/>
  <c r="F79" i="1"/>
  <c r="G79" i="1"/>
  <c r="H79" i="1" s="1"/>
  <c r="F80" i="1"/>
  <c r="G80" i="1" s="1"/>
  <c r="F81" i="1"/>
  <c r="G81" i="1" s="1"/>
  <c r="F30" i="1"/>
  <c r="G30" i="1" s="1"/>
  <c r="F31" i="1"/>
  <c r="G31" i="1"/>
  <c r="F32" i="1"/>
  <c r="G32" i="1" s="1"/>
  <c r="F33" i="1"/>
  <c r="G33" i="1" s="1"/>
  <c r="F34" i="1"/>
  <c r="G34" i="1" s="1"/>
  <c r="G39" i="1" s="1"/>
  <c r="F35" i="1"/>
  <c r="G35" i="1"/>
  <c r="F36" i="1"/>
  <c r="G36" i="1" s="1"/>
  <c r="F37" i="1"/>
  <c r="G37" i="1" s="1"/>
  <c r="F38" i="1"/>
  <c r="G38" i="1" s="1"/>
  <c r="F15" i="1"/>
  <c r="G15" i="1"/>
  <c r="F16" i="1"/>
  <c r="G16" i="1" s="1"/>
  <c r="F17" i="1"/>
  <c r="G17" i="1" s="1"/>
  <c r="F14" i="1"/>
  <c r="G14" i="1" s="1"/>
  <c r="E90" i="1"/>
  <c r="C89" i="1"/>
  <c r="F89" i="1" s="1"/>
  <c r="E88" i="1"/>
  <c r="E87" i="1"/>
  <c r="E86" i="1"/>
  <c r="E85" i="1"/>
  <c r="C82" i="1"/>
  <c r="C83" i="1" s="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C39" i="1"/>
  <c r="F39" i="1" s="1"/>
  <c r="E38" i="1"/>
  <c r="E37" i="1"/>
  <c r="E36" i="1"/>
  <c r="E35" i="1"/>
  <c r="E34" i="1"/>
  <c r="E33" i="1"/>
  <c r="E32" i="1"/>
  <c r="E31" i="1"/>
  <c r="E30" i="1"/>
  <c r="E29" i="1"/>
  <c r="E28" i="1"/>
  <c r="E27" i="1"/>
  <c r="E26" i="1"/>
  <c r="E25" i="1"/>
  <c r="E39" i="1" s="1"/>
  <c r="E24" i="1"/>
  <c r="E23" i="1"/>
  <c r="E22" i="1"/>
  <c r="E21" i="1"/>
  <c r="C18" i="1"/>
  <c r="D81" i="1"/>
  <c r="E17" i="1"/>
  <c r="E16" i="1"/>
  <c r="E15" i="1"/>
  <c r="E14" i="1"/>
  <c r="F18" i="1"/>
  <c r="G18" i="1" s="1"/>
  <c r="H53" i="1" s="1"/>
  <c r="G89" i="1"/>
  <c r="D14" i="1"/>
  <c r="E89" i="1"/>
  <c r="D57" i="1"/>
  <c r="D17" i="1"/>
  <c r="D16" i="1"/>
  <c r="D61" i="1"/>
  <c r="D45" i="1"/>
  <c r="D15" i="1"/>
  <c r="D69" i="1"/>
  <c r="D82" i="1"/>
  <c r="D39" i="1"/>
  <c r="D53" i="1"/>
  <c r="D89" i="1"/>
  <c r="D87" i="1"/>
  <c r="D85" i="1"/>
  <c r="D80" i="1"/>
  <c r="D78" i="1"/>
  <c r="D76" i="1"/>
  <c r="D74" i="1"/>
  <c r="D72" i="1"/>
  <c r="D70" i="1"/>
  <c r="D68" i="1"/>
  <c r="D66" i="1"/>
  <c r="D64" i="1"/>
  <c r="D62" i="1"/>
  <c r="D60" i="1"/>
  <c r="D58" i="1"/>
  <c r="D56" i="1"/>
  <c r="D54" i="1"/>
  <c r="D52" i="1"/>
  <c r="D50" i="1"/>
  <c r="D48" i="1"/>
  <c r="D46" i="1"/>
  <c r="D44" i="1"/>
  <c r="D75" i="1"/>
  <c r="D67" i="1"/>
  <c r="D59" i="1"/>
  <c r="D51" i="1"/>
  <c r="D43" i="1"/>
  <c r="D37" i="1"/>
  <c r="D35" i="1"/>
  <c r="D33" i="1"/>
  <c r="D31" i="1"/>
  <c r="D29" i="1"/>
  <c r="D27" i="1"/>
  <c r="D25" i="1"/>
  <c r="D23" i="1"/>
  <c r="D21" i="1"/>
  <c r="D77" i="1"/>
  <c r="D90" i="1"/>
  <c r="D86" i="1"/>
  <c r="D88" i="1"/>
  <c r="D79" i="1"/>
  <c r="D71" i="1"/>
  <c r="D63" i="1"/>
  <c r="D55" i="1"/>
  <c r="D47" i="1"/>
  <c r="D38" i="1"/>
  <c r="D36" i="1"/>
  <c r="D34" i="1"/>
  <c r="D32" i="1"/>
  <c r="D30" i="1"/>
  <c r="D28" i="1"/>
  <c r="D26" i="1"/>
  <c r="D24" i="1"/>
  <c r="D22" i="1"/>
  <c r="D18" i="1"/>
  <c r="D40" i="1" s="1"/>
  <c r="D49" i="1"/>
  <c r="D65" i="1"/>
  <c r="D73" i="1"/>
  <c r="H45" i="1"/>
  <c r="H62" i="1"/>
  <c r="H69" i="1"/>
  <c r="H58" i="1"/>
  <c r="H49" i="1"/>
  <c r="H56" i="1"/>
  <c r="H68" i="1"/>
  <c r="H75" i="1"/>
  <c r="H50" i="1"/>
  <c r="H55" i="1"/>
  <c r="H90" i="1"/>
  <c r="H15" i="1"/>
  <c r="H85" i="1"/>
  <c r="H14" i="1"/>
  <c r="F4" i="1"/>
  <c r="H4" i="1" s="1"/>
  <c r="H32" i="1"/>
  <c r="H24" i="1"/>
  <c r="H30" i="1"/>
  <c r="H22" i="1"/>
  <c r="H37" i="1"/>
  <c r="H27" i="1"/>
  <c r="F9" i="1"/>
  <c r="G4" i="1"/>
  <c r="D83" i="1" l="1"/>
  <c r="C84" i="1"/>
  <c r="F83" i="1"/>
  <c r="E83" i="1"/>
  <c r="G95" i="1"/>
  <c r="F5" i="1"/>
  <c r="H39" i="1"/>
  <c r="F95" i="1"/>
  <c r="C5" i="2"/>
  <c r="B76" i="2"/>
  <c r="C6" i="2"/>
  <c r="B32" i="2"/>
  <c r="C7" i="2"/>
  <c r="C8" i="2"/>
  <c r="C4" i="2"/>
  <c r="L16" i="2"/>
  <c r="L24" i="2"/>
  <c r="L42" i="2"/>
  <c r="L50" i="2"/>
  <c r="L58" i="2"/>
  <c r="L66" i="2"/>
  <c r="L18" i="2"/>
  <c r="L26" i="2"/>
  <c r="L36" i="2"/>
  <c r="L44" i="2"/>
  <c r="L52" i="2"/>
  <c r="L60" i="2"/>
  <c r="L68" i="2"/>
  <c r="L19" i="2"/>
  <c r="L27" i="2"/>
  <c r="L37" i="2"/>
  <c r="L45" i="2"/>
  <c r="L53" i="2"/>
  <c r="L61" i="2"/>
  <c r="L69" i="2"/>
  <c r="L13" i="2"/>
  <c r="L22" i="2"/>
  <c r="L38" i="2"/>
  <c r="L49" i="2"/>
  <c r="L63" i="2"/>
  <c r="L23" i="2"/>
  <c r="L39" i="2"/>
  <c r="L51" i="2"/>
  <c r="L64" i="2"/>
  <c r="L25" i="2"/>
  <c r="L40" i="2"/>
  <c r="L54" i="2"/>
  <c r="L65" i="2"/>
  <c r="L14" i="2"/>
  <c r="L28" i="2"/>
  <c r="L41" i="2"/>
  <c r="L55" i="2"/>
  <c r="L67" i="2"/>
  <c r="L15" i="2"/>
  <c r="L29" i="2"/>
  <c r="L43" i="2"/>
  <c r="L56" i="2"/>
  <c r="L70" i="2"/>
  <c r="L17" i="2"/>
  <c r="L30" i="2"/>
  <c r="L46" i="2"/>
  <c r="L57" i="2"/>
  <c r="L71" i="2"/>
  <c r="L20" i="2"/>
  <c r="L47" i="2"/>
  <c r="L59" i="2"/>
  <c r="L72" i="2"/>
  <c r="L21" i="2"/>
  <c r="L35" i="2"/>
  <c r="L48" i="2"/>
  <c r="L62" i="2"/>
  <c r="L73" i="2"/>
  <c r="H26" i="1"/>
  <c r="H36" i="1"/>
  <c r="H89" i="1"/>
  <c r="H21" i="1"/>
  <c r="H57" i="1"/>
  <c r="H77" i="1"/>
  <c r="H81" i="1"/>
  <c r="H46" i="1"/>
  <c r="C40" i="1"/>
  <c r="F40" i="1" s="1"/>
  <c r="F82" i="1"/>
  <c r="H18" i="2"/>
  <c r="H26" i="2"/>
  <c r="H36" i="2"/>
  <c r="H44" i="2"/>
  <c r="H52" i="2"/>
  <c r="H60" i="2"/>
  <c r="H68" i="2"/>
  <c r="H19" i="2"/>
  <c r="H27" i="2"/>
  <c r="H37" i="2"/>
  <c r="H45" i="2"/>
  <c r="H53" i="2"/>
  <c r="H61" i="2"/>
  <c r="H69" i="2"/>
  <c r="H23" i="2"/>
  <c r="H35" i="2"/>
  <c r="H47" i="2"/>
  <c r="H57" i="2"/>
  <c r="H67" i="2"/>
  <c r="H14" i="2"/>
  <c r="H24" i="2"/>
  <c r="H38" i="2"/>
  <c r="H48" i="2"/>
  <c r="H58" i="2"/>
  <c r="H70" i="2"/>
  <c r="H15" i="2"/>
  <c r="H25" i="2"/>
  <c r="H39" i="2"/>
  <c r="H49" i="2"/>
  <c r="H59" i="2"/>
  <c r="H71" i="2"/>
  <c r="H16" i="2"/>
  <c r="H28" i="2"/>
  <c r="H40" i="2"/>
  <c r="H50" i="2"/>
  <c r="H62" i="2"/>
  <c r="H72" i="2"/>
  <c r="H17" i="2"/>
  <c r="H29" i="2"/>
  <c r="H41" i="2"/>
  <c r="H51" i="2"/>
  <c r="H63" i="2"/>
  <c r="H73" i="2"/>
  <c r="H13" i="2"/>
  <c r="H20" i="2"/>
  <c r="H30" i="2"/>
  <c r="H42" i="2"/>
  <c r="H54" i="2"/>
  <c r="H64" i="2"/>
  <c r="H21" i="2"/>
  <c r="H43" i="2"/>
  <c r="H55" i="2"/>
  <c r="H65" i="2"/>
  <c r="H22" i="2"/>
  <c r="H46" i="2"/>
  <c r="H56" i="2"/>
  <c r="H66" i="2"/>
  <c r="E14" i="2"/>
  <c r="H71" i="1"/>
  <c r="H65" i="1"/>
  <c r="H44" i="1"/>
  <c r="K14" i="2"/>
  <c r="K22" i="2"/>
  <c r="K30" i="2"/>
  <c r="K40" i="2"/>
  <c r="K48" i="2"/>
  <c r="K56" i="2"/>
  <c r="K64" i="2"/>
  <c r="K72" i="2"/>
  <c r="K16" i="2"/>
  <c r="K24" i="2"/>
  <c r="K42" i="2"/>
  <c r="K50" i="2"/>
  <c r="K58" i="2"/>
  <c r="K66" i="2"/>
  <c r="K17" i="2"/>
  <c r="K25" i="2"/>
  <c r="K35" i="2"/>
  <c r="K43" i="2"/>
  <c r="K51" i="2"/>
  <c r="K59" i="2"/>
  <c r="K67" i="2"/>
  <c r="K20" i="2"/>
  <c r="K36" i="2"/>
  <c r="K47" i="2"/>
  <c r="K61" i="2"/>
  <c r="K73" i="2"/>
  <c r="K21" i="2"/>
  <c r="K37" i="2"/>
  <c r="K49" i="2"/>
  <c r="K62" i="2"/>
  <c r="K23" i="2"/>
  <c r="K38" i="2"/>
  <c r="K52" i="2"/>
  <c r="K63" i="2"/>
  <c r="K13" i="2"/>
  <c r="K26" i="2"/>
  <c r="K39" i="2"/>
  <c r="K53" i="2"/>
  <c r="K65" i="2"/>
  <c r="K27" i="2"/>
  <c r="K41" i="2"/>
  <c r="K54" i="2"/>
  <c r="K68" i="2"/>
  <c r="K15" i="2"/>
  <c r="K28" i="2"/>
  <c r="K44" i="2"/>
  <c r="K55" i="2"/>
  <c r="K69" i="2"/>
  <c r="K18" i="2"/>
  <c r="K29" i="2"/>
  <c r="K45" i="2"/>
  <c r="K57" i="2"/>
  <c r="K70" i="2"/>
  <c r="K19" i="2"/>
  <c r="K31" i="2"/>
  <c r="K46" i="2"/>
  <c r="K60" i="2"/>
  <c r="K71" i="2"/>
  <c r="H25" i="1"/>
  <c r="H34" i="1"/>
  <c r="H23" i="1"/>
  <c r="H17" i="1"/>
  <c r="H66" i="1"/>
  <c r="H70" i="1"/>
  <c r="H74" i="1"/>
  <c r="H78" i="1"/>
  <c r="C91" i="1"/>
  <c r="H64" i="1"/>
  <c r="I21" i="2"/>
  <c r="I29" i="2"/>
  <c r="I39" i="2"/>
  <c r="I47" i="2"/>
  <c r="I55" i="2"/>
  <c r="I63" i="2"/>
  <c r="I71" i="2"/>
  <c r="I14" i="2"/>
  <c r="I22" i="2"/>
  <c r="I30" i="2"/>
  <c r="I40" i="2"/>
  <c r="I48" i="2"/>
  <c r="I56" i="2"/>
  <c r="I64" i="2"/>
  <c r="I72" i="2"/>
  <c r="I16" i="2"/>
  <c r="I26" i="2"/>
  <c r="I38" i="2"/>
  <c r="I50" i="2"/>
  <c r="I60" i="2"/>
  <c r="I70" i="2"/>
  <c r="I17" i="2"/>
  <c r="I27" i="2"/>
  <c r="I41" i="2"/>
  <c r="I51" i="2"/>
  <c r="I61" i="2"/>
  <c r="I73" i="2"/>
  <c r="I18" i="2"/>
  <c r="I28" i="2"/>
  <c r="I42" i="2"/>
  <c r="I52" i="2"/>
  <c r="I62" i="2"/>
  <c r="I19" i="2"/>
  <c r="I43" i="2"/>
  <c r="I53" i="2"/>
  <c r="I65" i="2"/>
  <c r="I13" i="2"/>
  <c r="I20" i="2"/>
  <c r="I44" i="2"/>
  <c r="I54" i="2"/>
  <c r="I66" i="2"/>
  <c r="I23" i="2"/>
  <c r="I35" i="2"/>
  <c r="I45" i="2"/>
  <c r="I57" i="2"/>
  <c r="I67" i="2"/>
  <c r="I24" i="2"/>
  <c r="I36" i="2"/>
  <c r="I46" i="2"/>
  <c r="I58" i="2"/>
  <c r="I68" i="2"/>
  <c r="I15" i="2"/>
  <c r="I25" i="2"/>
  <c r="I37" i="2"/>
  <c r="I49" i="2"/>
  <c r="I59" i="2"/>
  <c r="I69" i="2"/>
  <c r="H29" i="1"/>
  <c r="H38" i="1"/>
  <c r="H31" i="1"/>
  <c r="H86" i="1"/>
  <c r="H43" i="1"/>
  <c r="H63" i="1"/>
  <c r="H51" i="1"/>
  <c r="H48" i="1"/>
  <c r="E18" i="1"/>
  <c r="E40" i="1" s="1"/>
  <c r="H76" i="1"/>
  <c r="E15" i="2"/>
  <c r="E23" i="2"/>
  <c r="E41" i="2"/>
  <c r="E49" i="2"/>
  <c r="E57" i="2"/>
  <c r="E65" i="2"/>
  <c r="E73" i="2"/>
  <c r="E16" i="2"/>
  <c r="E24" i="2"/>
  <c r="E42" i="2"/>
  <c r="E50" i="2"/>
  <c r="E58" i="2"/>
  <c r="E66" i="2"/>
  <c r="E74" i="2"/>
  <c r="E17" i="2"/>
  <c r="E25" i="2"/>
  <c r="E35" i="2"/>
  <c r="E43" i="2"/>
  <c r="E51" i="2"/>
  <c r="E59" i="2"/>
  <c r="E67" i="2"/>
  <c r="E18" i="2"/>
  <c r="E26" i="2"/>
  <c r="E36" i="2"/>
  <c r="E44" i="2"/>
  <c r="E52" i="2"/>
  <c r="E60" i="2"/>
  <c r="E68" i="2"/>
  <c r="E19" i="2"/>
  <c r="E27" i="2"/>
  <c r="E37" i="2"/>
  <c r="E45" i="2"/>
  <c r="E53" i="2"/>
  <c r="E61" i="2"/>
  <c r="E69" i="2"/>
  <c r="E13" i="2"/>
  <c r="E20" i="2"/>
  <c r="E28" i="2"/>
  <c r="E38" i="2"/>
  <c r="E46" i="2"/>
  <c r="E54" i="2"/>
  <c r="E62" i="2"/>
  <c r="E70" i="2"/>
  <c r="E21" i="2"/>
  <c r="E29" i="2"/>
  <c r="E39" i="2"/>
  <c r="E47" i="2"/>
  <c r="E55" i="2"/>
  <c r="E63" i="2"/>
  <c r="E71" i="2"/>
  <c r="E56" i="2"/>
  <c r="H33" i="1"/>
  <c r="H18" i="1"/>
  <c r="H35" i="1"/>
  <c r="H88" i="1"/>
  <c r="H59" i="1"/>
  <c r="H67" i="1"/>
  <c r="H80" i="1"/>
  <c r="E82" i="1"/>
  <c r="P75" i="2"/>
  <c r="K75" i="2"/>
  <c r="J75" i="2"/>
  <c r="L75" i="2"/>
  <c r="M75" i="2"/>
  <c r="E75" i="2"/>
  <c r="I75" i="2"/>
  <c r="N75" i="2"/>
  <c r="O75" i="2"/>
  <c r="H75" i="2"/>
  <c r="F75" i="2"/>
  <c r="G75" i="2"/>
  <c r="O16" i="2"/>
  <c r="O24" i="2"/>
  <c r="O42" i="2"/>
  <c r="O50" i="2"/>
  <c r="O58" i="2"/>
  <c r="O66" i="2"/>
  <c r="O18" i="2"/>
  <c r="O26" i="2"/>
  <c r="O36" i="2"/>
  <c r="O44" i="2"/>
  <c r="O52" i="2"/>
  <c r="O60" i="2"/>
  <c r="O68" i="2"/>
  <c r="O19" i="2"/>
  <c r="O27" i="2"/>
  <c r="O37" i="2"/>
  <c r="O45" i="2"/>
  <c r="O53" i="2"/>
  <c r="O61" i="2"/>
  <c r="O69" i="2"/>
  <c r="O13" i="2"/>
  <c r="O15" i="2"/>
  <c r="O23" i="2"/>
  <c r="O41" i="2"/>
  <c r="O49" i="2"/>
  <c r="O57" i="2"/>
  <c r="O65" i="2"/>
  <c r="O17" i="2"/>
  <c r="O35" i="2"/>
  <c r="O51" i="2"/>
  <c r="O67" i="2"/>
  <c r="O20" i="2"/>
  <c r="O38" i="2"/>
  <c r="O54" i="2"/>
  <c r="O70" i="2"/>
  <c r="O21" i="2"/>
  <c r="O39" i="2"/>
  <c r="O55" i="2"/>
  <c r="O71" i="2"/>
  <c r="O22" i="2"/>
  <c r="O40" i="2"/>
  <c r="O56" i="2"/>
  <c r="O72" i="2"/>
  <c r="O25" i="2"/>
  <c r="O43" i="2"/>
  <c r="O59" i="2"/>
  <c r="O73" i="2"/>
  <c r="O28" i="2"/>
  <c r="O46" i="2"/>
  <c r="O62" i="2"/>
  <c r="O29" i="2"/>
  <c r="O47" i="2"/>
  <c r="O63" i="2"/>
  <c r="O14" i="2"/>
  <c r="O30" i="2"/>
  <c r="O48" i="2"/>
  <c r="O64" i="2"/>
  <c r="G21" i="2"/>
  <c r="G29" i="2"/>
  <c r="G39" i="2"/>
  <c r="G47" i="2"/>
  <c r="G15" i="2"/>
  <c r="G23" i="2"/>
  <c r="G41" i="2"/>
  <c r="G49" i="2"/>
  <c r="G57" i="2"/>
  <c r="G65" i="2"/>
  <c r="G73" i="2"/>
  <c r="G16" i="2"/>
  <c r="G24" i="2"/>
  <c r="G42" i="2"/>
  <c r="G50" i="2"/>
  <c r="G58" i="2"/>
  <c r="G66" i="2"/>
  <c r="G14" i="2"/>
  <c r="G27" i="2"/>
  <c r="G43" i="2"/>
  <c r="G54" i="2"/>
  <c r="G64" i="2"/>
  <c r="G17" i="2"/>
  <c r="G28" i="2"/>
  <c r="G44" i="2"/>
  <c r="G55" i="2"/>
  <c r="G67" i="2"/>
  <c r="G18" i="2"/>
  <c r="G30" i="2"/>
  <c r="G45" i="2"/>
  <c r="G56" i="2"/>
  <c r="G68" i="2"/>
  <c r="G19" i="2"/>
  <c r="G35" i="2"/>
  <c r="G46" i="2"/>
  <c r="G59" i="2"/>
  <c r="G69" i="2"/>
  <c r="G20" i="2"/>
  <c r="G36" i="2"/>
  <c r="G48" i="2"/>
  <c r="G60" i="2"/>
  <c r="G70" i="2"/>
  <c r="G22" i="2"/>
  <c r="G37" i="2"/>
  <c r="G51" i="2"/>
  <c r="G61" i="2"/>
  <c r="G71" i="2"/>
  <c r="G13" i="2"/>
  <c r="G25" i="2"/>
  <c r="G38" i="2"/>
  <c r="G52" i="2"/>
  <c r="G62" i="2"/>
  <c r="G72" i="2"/>
  <c r="G26" i="2"/>
  <c r="G40" i="2"/>
  <c r="G53" i="2"/>
  <c r="G63" i="2"/>
  <c r="E48" i="2"/>
  <c r="G82" i="1"/>
  <c r="N18" i="2"/>
  <c r="N26" i="2"/>
  <c r="N36" i="2"/>
  <c r="N44" i="2"/>
  <c r="N52" i="2"/>
  <c r="N60" i="2"/>
  <c r="N68" i="2"/>
  <c r="N20" i="2"/>
  <c r="N28" i="2"/>
  <c r="N38" i="2"/>
  <c r="N46" i="2"/>
  <c r="N54" i="2"/>
  <c r="N62" i="2"/>
  <c r="N70" i="2"/>
  <c r="N21" i="2"/>
  <c r="N29" i="2"/>
  <c r="N39" i="2"/>
  <c r="N47" i="2"/>
  <c r="N55" i="2"/>
  <c r="N63" i="2"/>
  <c r="N71" i="2"/>
  <c r="N16" i="2"/>
  <c r="N30" i="2"/>
  <c r="N43" i="2"/>
  <c r="N57" i="2"/>
  <c r="N69" i="2"/>
  <c r="N17" i="2"/>
  <c r="N45" i="2"/>
  <c r="N58" i="2"/>
  <c r="N72" i="2"/>
  <c r="N19" i="2"/>
  <c r="N48" i="2"/>
  <c r="N59" i="2"/>
  <c r="N73" i="2"/>
  <c r="N22" i="2"/>
  <c r="N35" i="2"/>
  <c r="N49" i="2"/>
  <c r="N61" i="2"/>
  <c r="N23" i="2"/>
  <c r="N37" i="2"/>
  <c r="N50" i="2"/>
  <c r="N64" i="2"/>
  <c r="N24" i="2"/>
  <c r="N40" i="2"/>
  <c r="N51" i="2"/>
  <c r="N65" i="2"/>
  <c r="N13" i="2"/>
  <c r="N14" i="2"/>
  <c r="N25" i="2"/>
  <c r="N41" i="2"/>
  <c r="N53" i="2"/>
  <c r="N66" i="2"/>
  <c r="N15" i="2"/>
  <c r="N27" i="2"/>
  <c r="N42" i="2"/>
  <c r="N56" i="2"/>
  <c r="N67" i="2"/>
  <c r="F18" i="2"/>
  <c r="F26" i="2"/>
  <c r="F36" i="2"/>
  <c r="F44" i="2"/>
  <c r="F52" i="2"/>
  <c r="F60" i="2"/>
  <c r="F68" i="2"/>
  <c r="F20" i="2"/>
  <c r="F28" i="2"/>
  <c r="F38" i="2"/>
  <c r="F46" i="2"/>
  <c r="F54" i="2"/>
  <c r="F62" i="2"/>
  <c r="F70" i="2"/>
  <c r="F21" i="2"/>
  <c r="F29" i="2"/>
  <c r="F39" i="2"/>
  <c r="F47" i="2"/>
  <c r="F55" i="2"/>
  <c r="F63" i="2"/>
  <c r="F71" i="2"/>
  <c r="F24" i="2"/>
  <c r="F40" i="2"/>
  <c r="F51" i="2"/>
  <c r="F65" i="2"/>
  <c r="F14" i="2"/>
  <c r="F25" i="2"/>
  <c r="F41" i="2"/>
  <c r="F53" i="2"/>
  <c r="F66" i="2"/>
  <c r="F15" i="2"/>
  <c r="F27" i="2"/>
  <c r="F42" i="2"/>
  <c r="F56" i="2"/>
  <c r="F67" i="2"/>
  <c r="F16" i="2"/>
  <c r="F30" i="2"/>
  <c r="F43" i="2"/>
  <c r="F57" i="2"/>
  <c r="F69" i="2"/>
  <c r="F17" i="2"/>
  <c r="F45" i="2"/>
  <c r="F58" i="2"/>
  <c r="F72" i="2"/>
  <c r="F19" i="2"/>
  <c r="F48" i="2"/>
  <c r="F59" i="2"/>
  <c r="F73" i="2"/>
  <c r="F22" i="2"/>
  <c r="F35" i="2"/>
  <c r="F49" i="2"/>
  <c r="F61" i="2"/>
  <c r="F13" i="2"/>
  <c r="F23" i="2"/>
  <c r="F37" i="2"/>
  <c r="F50" i="2"/>
  <c r="F64" i="2"/>
  <c r="G40" i="1"/>
  <c r="H87" i="1"/>
  <c r="H28" i="1"/>
  <c r="H16" i="1"/>
  <c r="H52" i="1"/>
  <c r="H72" i="1"/>
  <c r="H61" i="1"/>
  <c r="L31" i="2"/>
  <c r="M20" i="2"/>
  <c r="M28" i="2"/>
  <c r="M38" i="2"/>
  <c r="M46" i="2"/>
  <c r="M54" i="2"/>
  <c r="M62" i="2"/>
  <c r="M70" i="2"/>
  <c r="M14" i="2"/>
  <c r="M22" i="2"/>
  <c r="M30" i="2"/>
  <c r="M40" i="2"/>
  <c r="M48" i="2"/>
  <c r="M56" i="2"/>
  <c r="M64" i="2"/>
  <c r="M72" i="2"/>
  <c r="M15" i="2"/>
  <c r="M23" i="2"/>
  <c r="M41" i="2"/>
  <c r="M49" i="2"/>
  <c r="M57" i="2"/>
  <c r="M65" i="2"/>
  <c r="M73" i="2"/>
  <c r="M18" i="2"/>
  <c r="M45" i="2"/>
  <c r="M59" i="2"/>
  <c r="M71" i="2"/>
  <c r="M19" i="2"/>
  <c r="M35" i="2"/>
  <c r="M47" i="2"/>
  <c r="M60" i="2"/>
  <c r="M21" i="2"/>
  <c r="M36" i="2"/>
  <c r="M50" i="2"/>
  <c r="M61" i="2"/>
  <c r="M24" i="2"/>
  <c r="M37" i="2"/>
  <c r="M51" i="2"/>
  <c r="M63" i="2"/>
  <c r="M25" i="2"/>
  <c r="M39" i="2"/>
  <c r="M52" i="2"/>
  <c r="M66" i="2"/>
  <c r="M13" i="2"/>
  <c r="M26" i="2"/>
  <c r="M42" i="2"/>
  <c r="M53" i="2"/>
  <c r="M67" i="2"/>
  <c r="M16" i="2"/>
  <c r="M27" i="2"/>
  <c r="M43" i="2"/>
  <c r="M55" i="2"/>
  <c r="M68" i="2"/>
  <c r="M17" i="2"/>
  <c r="M29" i="2"/>
  <c r="M44" i="2"/>
  <c r="M58" i="2"/>
  <c r="M69" i="2"/>
  <c r="P14" i="2"/>
  <c r="P22" i="2"/>
  <c r="P30" i="2"/>
  <c r="P40" i="2"/>
  <c r="P48" i="2"/>
  <c r="P56" i="2"/>
  <c r="P64" i="2"/>
  <c r="P72" i="2"/>
  <c r="P16" i="2"/>
  <c r="P24" i="2"/>
  <c r="P42" i="2"/>
  <c r="P50" i="2"/>
  <c r="P58" i="2"/>
  <c r="P66" i="2"/>
  <c r="P17" i="2"/>
  <c r="P25" i="2"/>
  <c r="P35" i="2"/>
  <c r="P43" i="2"/>
  <c r="P51" i="2"/>
  <c r="P59" i="2"/>
  <c r="P67" i="2"/>
  <c r="P21" i="2"/>
  <c r="P29" i="2"/>
  <c r="P39" i="2"/>
  <c r="P47" i="2"/>
  <c r="P55" i="2"/>
  <c r="P63" i="2"/>
  <c r="P71" i="2"/>
  <c r="P15" i="2"/>
  <c r="P49" i="2"/>
  <c r="P65" i="2"/>
  <c r="P18" i="2"/>
  <c r="P36" i="2"/>
  <c r="P52" i="2"/>
  <c r="P68" i="2"/>
  <c r="P19" i="2"/>
  <c r="P37" i="2"/>
  <c r="P53" i="2"/>
  <c r="P69" i="2"/>
  <c r="P20" i="2"/>
  <c r="P38" i="2"/>
  <c r="P54" i="2"/>
  <c r="P70" i="2"/>
  <c r="P23" i="2"/>
  <c r="P41" i="2"/>
  <c r="P57" i="2"/>
  <c r="P73" i="2"/>
  <c r="P26" i="2"/>
  <c r="P44" i="2"/>
  <c r="P60" i="2"/>
  <c r="P27" i="2"/>
  <c r="P45" i="2"/>
  <c r="P61" i="2"/>
  <c r="P13" i="2"/>
  <c r="P28" i="2"/>
  <c r="P46" i="2"/>
  <c r="P62" i="2"/>
  <c r="O74" i="2"/>
  <c r="L74" i="2"/>
  <c r="P74" i="2"/>
  <c r="K74" i="2"/>
  <c r="J74" i="2"/>
  <c r="G74" i="2"/>
  <c r="J71" i="2"/>
  <c r="J61" i="2"/>
  <c r="J49" i="2"/>
  <c r="J39" i="2"/>
  <c r="J27" i="2"/>
  <c r="J15" i="2"/>
  <c r="H31" i="2"/>
  <c r="F74" i="2"/>
  <c r="G31" i="2"/>
  <c r="M31" i="2"/>
  <c r="O31" i="2"/>
  <c r="J70" i="2"/>
  <c r="J60" i="2"/>
  <c r="J48" i="2"/>
  <c r="J38" i="2"/>
  <c r="J26" i="2"/>
  <c r="J14" i="2"/>
  <c r="H74" i="2"/>
  <c r="J69" i="2"/>
  <c r="J57" i="2"/>
  <c r="J47" i="2"/>
  <c r="J37" i="2"/>
  <c r="J23" i="2"/>
  <c r="F31" i="2"/>
  <c r="J68" i="2"/>
  <c r="J56" i="2"/>
  <c r="J46" i="2"/>
  <c r="J36" i="2"/>
  <c r="J22" i="2"/>
  <c r="I31" i="2"/>
  <c r="N74" i="2"/>
  <c r="J13" i="2"/>
  <c r="J65" i="2"/>
  <c r="J55" i="2"/>
  <c r="J45" i="2"/>
  <c r="J31" i="2"/>
  <c r="I74" i="2"/>
  <c r="J16" i="2"/>
  <c r="J24" i="2"/>
  <c r="J42" i="2"/>
  <c r="J50" i="2"/>
  <c r="J58" i="2"/>
  <c r="J66" i="2"/>
  <c r="J17" i="2"/>
  <c r="J25" i="2"/>
  <c r="J35" i="2"/>
  <c r="J43" i="2"/>
  <c r="J51" i="2"/>
  <c r="J59" i="2"/>
  <c r="J67" i="2"/>
  <c r="J64" i="2"/>
  <c r="J54" i="2"/>
  <c r="J44" i="2"/>
  <c r="J30" i="2"/>
  <c r="J20" i="2"/>
  <c r="M74" i="2"/>
  <c r="N31" i="2"/>
  <c r="E31" i="2"/>
  <c r="J73" i="2"/>
  <c r="J63" i="2"/>
  <c r="J53" i="2"/>
  <c r="J41" i="2"/>
  <c r="J29" i="2"/>
  <c r="J19" i="2"/>
  <c r="P31" i="2"/>
  <c r="F96" i="1" l="1"/>
  <c r="G96" i="1"/>
  <c r="H40" i="1"/>
  <c r="H5" i="1"/>
  <c r="G5" i="1"/>
  <c r="F97" i="1"/>
  <c r="F7" i="1"/>
  <c r="F98" i="1"/>
  <c r="F6" i="1"/>
  <c r="G83" i="1"/>
  <c r="H82" i="1"/>
  <c r="O32" i="2"/>
  <c r="L32" i="2"/>
  <c r="P32" i="2"/>
  <c r="K32" i="2"/>
  <c r="J32" i="2"/>
  <c r="G32" i="2"/>
  <c r="M32" i="2"/>
  <c r="E32" i="2"/>
  <c r="N32" i="2"/>
  <c r="I32" i="2"/>
  <c r="F32" i="2"/>
  <c r="H32" i="2"/>
  <c r="E91" i="1"/>
  <c r="D91" i="1"/>
  <c r="F91" i="1"/>
  <c r="G91" i="1" s="1"/>
  <c r="H91" i="1" s="1"/>
  <c r="N76" i="2"/>
  <c r="F76" i="2"/>
  <c r="O76" i="2"/>
  <c r="L76" i="2"/>
  <c r="H76" i="2"/>
  <c r="G76" i="2"/>
  <c r="K76" i="2"/>
  <c r="J76" i="2"/>
  <c r="M76" i="2"/>
  <c r="E76" i="2"/>
  <c r="I76" i="2"/>
  <c r="P76" i="2"/>
  <c r="F84" i="1"/>
  <c r="E84" i="1"/>
  <c r="C92" i="1"/>
  <c r="D84" i="1"/>
  <c r="H7" i="1" l="1"/>
  <c r="F8" i="1"/>
  <c r="G7" i="1"/>
  <c r="C93" i="1"/>
  <c r="C94" i="1"/>
  <c r="F92" i="1"/>
  <c r="D92" i="1"/>
  <c r="E92" i="1"/>
  <c r="H83" i="1"/>
  <c r="G92" i="1"/>
  <c r="G84" i="1"/>
  <c r="H84" i="1" s="1"/>
  <c r="H6" i="1"/>
  <c r="G6" i="1"/>
  <c r="E94" i="1" l="1"/>
  <c r="D94" i="1"/>
  <c r="E93" i="1"/>
  <c r="F93" i="1" s="1"/>
  <c r="F94" i="1" s="1"/>
  <c r="D93" i="1"/>
  <c r="G93" i="1"/>
  <c r="H93" i="1" s="1"/>
  <c r="H92" i="1"/>
  <c r="G99" i="1" s="1"/>
  <c r="F99" i="1"/>
  <c r="G8" i="1"/>
  <c r="H8" i="1"/>
  <c r="G94" i="1" l="1"/>
  <c r="H94" i="1" l="1"/>
  <c r="G100" i="1" s="1"/>
  <c r="F100" i="1"/>
  <c r="D31" i="2" l="1"/>
  <c r="D13" i="2"/>
  <c r="D32" i="2"/>
  <c r="D9" i="2"/>
  <c r="D4" i="2"/>
  <c r="C32" i="2"/>
  <c r="C9" i="2"/>
  <c r="D64" i="2"/>
  <c r="D76" i="2"/>
  <c r="D18" i="2"/>
  <c r="D72" i="2"/>
  <c r="D54" i="2"/>
  <c r="D69" i="2"/>
  <c r="D37" i="2"/>
  <c r="D40" i="2"/>
  <c r="D44" i="2"/>
  <c r="D74" i="2"/>
  <c r="D19" i="2"/>
  <c r="D61" i="2"/>
  <c r="D24" i="2"/>
  <c r="D29" i="2"/>
  <c r="D39" i="2"/>
  <c r="D43" i="2"/>
  <c r="D26" i="2"/>
  <c r="D17" i="2"/>
  <c r="D8" i="2"/>
  <c r="D73" i="2"/>
  <c r="D50" i="2"/>
  <c r="D27" i="2"/>
  <c r="D75" i="2"/>
  <c r="D59" i="2"/>
  <c r="D15" i="2"/>
  <c r="D23" i="2"/>
  <c r="D70" i="2"/>
  <c r="D7" i="2"/>
  <c r="D14" i="2"/>
  <c r="D21" i="2"/>
  <c r="D55" i="2"/>
  <c r="D57" i="2"/>
  <c r="D63" i="2"/>
  <c r="D46" i="2"/>
  <c r="D52" i="2"/>
  <c r="D20" i="2"/>
  <c r="D5" i="2"/>
  <c r="D67" i="2"/>
  <c r="D60" i="2"/>
  <c r="D51" i="2"/>
  <c r="D25" i="2"/>
  <c r="D30" i="2"/>
  <c r="D58" i="2"/>
  <c r="D38" i="2"/>
  <c r="D6" i="2"/>
  <c r="D36" i="2"/>
  <c r="D48" i="2"/>
  <c r="D65" i="2"/>
  <c r="D56" i="2"/>
  <c r="D47" i="2"/>
  <c r="D28" i="2"/>
  <c r="D68" i="2"/>
  <c r="D42" i="2"/>
  <c r="D22" i="2"/>
  <c r="D45" i="2"/>
  <c r="D35" i="2"/>
  <c r="D62" i="2"/>
  <c r="D66" i="2"/>
  <c r="D16" i="2"/>
  <c r="D41" i="2"/>
  <c r="D71" i="2"/>
  <c r="D49" i="2"/>
  <c r="C13" i="2"/>
  <c r="D53" i="2"/>
  <c r="C50" i="2"/>
  <c r="C17" i="2"/>
  <c r="C73" i="2"/>
  <c r="C44" i="2"/>
  <c r="C66" i="2"/>
  <c r="C54" i="2"/>
  <c r="C69" i="2"/>
  <c r="C47" i="2"/>
  <c r="C63" i="2"/>
  <c r="C57" i="2"/>
  <c r="C45" i="2"/>
  <c r="C41" i="2"/>
  <c r="C75" i="2"/>
  <c r="C24" i="2"/>
  <c r="C64" i="2"/>
  <c r="C65" i="2"/>
  <c r="C40" i="2"/>
  <c r="C22" i="2"/>
  <c r="C48" i="2"/>
  <c r="C42" i="2"/>
  <c r="C74" i="2"/>
  <c r="C43" i="2"/>
  <c r="C61" i="2"/>
  <c r="C62" i="2"/>
  <c r="C29" i="2"/>
  <c r="C21" i="2"/>
  <c r="C28" i="2"/>
  <c r="C38" i="2"/>
  <c r="C25" i="2"/>
  <c r="C14" i="2"/>
  <c r="C18" i="2"/>
  <c r="C76" i="2"/>
  <c r="C15" i="2"/>
  <c r="C53" i="2"/>
  <c r="C51" i="2"/>
  <c r="C70" i="2"/>
  <c r="C36" i="2"/>
  <c r="C60" i="2"/>
  <c r="C26" i="2"/>
  <c r="C16" i="2"/>
  <c r="C35" i="2"/>
  <c r="C71" i="2"/>
  <c r="C55" i="2"/>
  <c r="C67" i="2"/>
  <c r="C49" i="2"/>
  <c r="C23" i="2"/>
  <c r="C46" i="2"/>
  <c r="C30" i="2"/>
  <c r="C19" i="2"/>
  <c r="C72" i="2"/>
  <c r="C37" i="2"/>
  <c r="C58" i="2"/>
  <c r="C52" i="2"/>
  <c r="C68" i="2"/>
  <c r="C59" i="2"/>
  <c r="C27" i="2"/>
  <c r="C56" i="2"/>
  <c r="C39" i="2"/>
  <c r="C20" i="2"/>
  <c r="C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author>
    <author>Mike Hardy</author>
    <author>Mike</author>
  </authors>
  <commentList>
    <comment ref="M2" authorId="0" shapeId="0" xr:uid="{9403F95D-A987-4F45-845E-0E6F7F60FC83}">
      <text>
        <r>
          <rPr>
            <b/>
            <sz val="9"/>
            <color indexed="81"/>
            <rFont val="Tahoma"/>
            <family val="2"/>
          </rPr>
          <t>Enter Sales Tax %</t>
        </r>
        <r>
          <rPr>
            <sz val="9"/>
            <color indexed="81"/>
            <rFont val="Tahoma"/>
            <family val="2"/>
          </rPr>
          <t xml:space="preserve">
</t>
        </r>
      </text>
    </comment>
    <comment ref="M5" authorId="0" shapeId="0" xr:uid="{B34B87DF-E2B1-4DCD-AF60-D147EF8EEC0C}">
      <text>
        <r>
          <rPr>
            <b/>
            <sz val="9"/>
            <color indexed="81"/>
            <rFont val="Tahoma"/>
            <family val="2"/>
          </rPr>
          <t>Enter the amount that you would like to increase wages as a whole.</t>
        </r>
        <r>
          <rPr>
            <sz val="9"/>
            <color indexed="81"/>
            <rFont val="Tahoma"/>
            <family val="2"/>
          </rPr>
          <t xml:space="preserve">
</t>
        </r>
      </text>
    </comment>
    <comment ref="M6" authorId="0" shapeId="0" xr:uid="{9AE0D259-CE47-4E8A-91A6-5CA137FB4EF9}">
      <text>
        <r>
          <rPr>
            <sz val="9"/>
            <color indexed="81"/>
            <rFont val="Tahoma"/>
            <family val="2"/>
          </rPr>
          <t xml:space="preserve">Enter % to cut overtime from the previous year.
</t>
        </r>
      </text>
    </comment>
    <comment ref="M7" authorId="0" shapeId="0" xr:uid="{DF7FC896-186E-440F-B808-248CD423071E}">
      <text>
        <r>
          <rPr>
            <b/>
            <sz val="9"/>
            <color indexed="81"/>
            <rFont val="Tahoma"/>
            <family val="2"/>
          </rPr>
          <t xml:space="preserve">enter % of what you want to cut on expenses that you would like
Ie.. 95% means 5%
      90% Means 10% 
      85% Means 15%  etc...
</t>
        </r>
        <r>
          <rPr>
            <sz val="9"/>
            <color indexed="81"/>
            <rFont val="Tahoma"/>
            <family val="2"/>
          </rPr>
          <t xml:space="preserve">
</t>
        </r>
      </text>
    </comment>
    <comment ref="F12" authorId="1" shapeId="0" xr:uid="{DD0109BE-7080-4831-A9AA-0D9388F00EB1}">
      <text>
        <r>
          <rPr>
            <b/>
            <sz val="8"/>
            <color indexed="81"/>
            <rFont val="Tahoma"/>
            <family val="2"/>
          </rPr>
          <t>In this column, enter the amount of change expected from the previous year; or allow the formula to create a calculated change based on sales growth rate (growth) for variable type or based on inflation rate if fixed. 
Growth and Inflation rates are set on the "Variables" worksheet. 
(see "Variables" tab below)</t>
        </r>
      </text>
    </comment>
    <comment ref="G12" authorId="2" shapeId="0" xr:uid="{58049141-AE67-47E9-888C-9E95F535A78D}">
      <text>
        <r>
          <rPr>
            <b/>
            <sz val="8"/>
            <color indexed="81"/>
            <rFont val="Tahoma"/>
            <family val="2"/>
          </rPr>
          <t xml:space="preserve">This is the new annual budget. Allow forulas to provide the budget in the planning stage only - or for a quick "etimated" budget.  It is recommended that you use a "zero-based" budgeting approach and enter well thought out budgets for each line item by overwriting the formula, and use this budget to manage your business.  Alternatively, you can manually enter the adjustment and allow the formula to provide the actual budget amounts.  </t>
        </r>
        <r>
          <rPr>
            <sz val="8"/>
            <color indexed="81"/>
            <rFont val="Tahoma"/>
            <family val="2"/>
          </rPr>
          <t xml:space="preserve">
</t>
        </r>
      </text>
    </comment>
    <comment ref="H12" authorId="1" shapeId="0" xr:uid="{D1723109-9F53-411E-BEEC-D4BC7A783ED8}">
      <text>
        <r>
          <rPr>
            <b/>
            <sz val="8"/>
            <color indexed="81"/>
            <rFont val="Tahoma"/>
            <family val="2"/>
          </rPr>
          <t>Percent of Total Sales</t>
        </r>
      </text>
    </comment>
    <comment ref="C13" authorId="0" shapeId="0" xr:uid="{B88A0794-6DC2-4D65-8217-6FEB5FB826C4}">
      <text>
        <r>
          <rPr>
            <b/>
            <sz val="16"/>
            <color indexed="81"/>
            <rFont val="Tahoma"/>
            <family val="2"/>
          </rPr>
          <t>Only fill in White Cells</t>
        </r>
        <r>
          <rPr>
            <sz val="9"/>
            <color indexed="81"/>
            <rFont val="Tahoma"/>
            <family val="2"/>
          </rPr>
          <t xml:space="preserve">
</t>
        </r>
      </text>
    </comment>
    <comment ref="G94" authorId="0" shapeId="0" xr:uid="{15395798-3E59-49E0-9882-E6F545B0076D}">
      <text>
        <r>
          <rPr>
            <b/>
            <sz val="9"/>
            <color indexed="81"/>
            <rFont val="Tahoma"/>
            <family val="2"/>
          </rPr>
          <t>Remember that this number is obtainable due to a substantial increase in Revenue.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B3" authorId="0" shapeId="0" xr:uid="{6046C412-7973-44A9-8DDE-3FDEACF72731}">
      <text>
        <r>
          <rPr>
            <b/>
            <sz val="16"/>
            <color indexed="81"/>
            <rFont val="Tahoma"/>
            <family val="2"/>
          </rPr>
          <t>Only fill in White Cells</t>
        </r>
        <r>
          <rPr>
            <sz val="9"/>
            <color indexed="81"/>
            <rFont val="Tahoma"/>
            <family val="2"/>
          </rPr>
          <t xml:space="preserve">
</t>
        </r>
      </text>
    </comment>
  </commentList>
</comments>
</file>

<file path=xl/sharedStrings.xml><?xml version="1.0" encoding="utf-8"?>
<sst xmlns="http://schemas.openxmlformats.org/spreadsheetml/2006/main" count="299" uniqueCount="137">
  <si>
    <t>Variables</t>
  </si>
  <si>
    <t>M.B. McKee Company</t>
  </si>
  <si>
    <t>Summary Table for Budget</t>
  </si>
  <si>
    <t>GROWTH %</t>
  </si>
  <si>
    <t>Annual</t>
  </si>
  <si>
    <t>Monthly</t>
  </si>
  <si>
    <t>Weekly</t>
  </si>
  <si>
    <t xml:space="preserve">Sales  </t>
  </si>
  <si>
    <t xml:space="preserve">Variable Costs  </t>
  </si>
  <si>
    <t xml:space="preserve"> DIRECT LABOR (Wage Increase)</t>
  </si>
  <si>
    <t xml:space="preserve">Fixed Costs  </t>
  </si>
  <si>
    <t xml:space="preserve">B/E $ales  </t>
  </si>
  <si>
    <t>Control Expenses %</t>
  </si>
  <si>
    <t xml:space="preserve">B/E Days  </t>
  </si>
  <si>
    <t>&lt;- Enter DATE for end of year.</t>
  </si>
  <si>
    <t>OPERATING INCOME (LOSS)</t>
  </si>
  <si>
    <t>Annual 2018</t>
  </si>
  <si>
    <t xml:space="preserve">Total </t>
  </si>
  <si>
    <t>Adjustments</t>
  </si>
  <si>
    <t>Pct %</t>
  </si>
  <si>
    <t>Sales Revenues</t>
  </si>
  <si>
    <t>% of Sales</t>
  </si>
  <si>
    <t>Average</t>
  </si>
  <si>
    <t>Growth</t>
  </si>
  <si>
    <t>Budget</t>
  </si>
  <si>
    <t>Revenue</t>
  </si>
  <si>
    <t>Lubbock Sales</t>
  </si>
  <si>
    <t>Amarillo Sales</t>
  </si>
  <si>
    <t>Hereford Sales</t>
  </si>
  <si>
    <t>Other Revenue Sources Adjustments</t>
  </si>
  <si>
    <t>Total Income</t>
  </si>
  <si>
    <t>Cost of Sales</t>
  </si>
  <si>
    <t>Variable</t>
  </si>
  <si>
    <t>Salaries Inside Sales Lubbock</t>
  </si>
  <si>
    <t>Salaries Inside Sales Amarillo</t>
  </si>
  <si>
    <t>Salaries Inside Sales Hereford</t>
  </si>
  <si>
    <t>Salaries Warehouse Lubbock</t>
  </si>
  <si>
    <t>Salaries Warehouse Hereford</t>
  </si>
  <si>
    <t>Salaries Warehouse Amarillo</t>
  </si>
  <si>
    <t>Salaries Outside Sales Lubbock</t>
  </si>
  <si>
    <t>Salaries Outside Sales Hereford</t>
  </si>
  <si>
    <t>Salaires Outside Sales Amarillo</t>
  </si>
  <si>
    <t>Cost of Sales Lubbock</t>
  </si>
  <si>
    <t>Cost of Sales Hereford</t>
  </si>
  <si>
    <t>Cost of Sales Amarillo</t>
  </si>
  <si>
    <t>Labor Charges</t>
  </si>
  <si>
    <t>Freight in Stock Lubbock</t>
  </si>
  <si>
    <t>Freight in Stock Hereford</t>
  </si>
  <si>
    <t>Freight in Stock Amarillo</t>
  </si>
  <si>
    <t>Purchase Order Variances</t>
  </si>
  <si>
    <t>Other</t>
  </si>
  <si>
    <t>Total Cost of Sales</t>
  </si>
  <si>
    <t>Gross Profit (Loss)</t>
  </si>
  <si>
    <t>Operating Expenses</t>
  </si>
  <si>
    <t>Fixed</t>
  </si>
  <si>
    <t>Employee Insurance</t>
  </si>
  <si>
    <t>Salary SOM Salary Continuation</t>
  </si>
  <si>
    <t>Salaries Corporate Officiers</t>
  </si>
  <si>
    <t>Salaries Clerical</t>
  </si>
  <si>
    <t>Tax FICA Expense</t>
  </si>
  <si>
    <t>Employee Expenses</t>
  </si>
  <si>
    <t>Dues &amp; Subscriptions</t>
  </si>
  <si>
    <t>Employer's Matching Funds</t>
  </si>
  <si>
    <t>Chev Deliveries Hereford</t>
  </si>
  <si>
    <t>Fuel Oil Kirk Truck</t>
  </si>
  <si>
    <t>Fuel Oil Lubbock Driver</t>
  </si>
  <si>
    <t>Equipment Maintenance Contracts</t>
  </si>
  <si>
    <t>Building Lease Amarillo</t>
  </si>
  <si>
    <t>Building Repair &amp; Maintenance Lubbock</t>
  </si>
  <si>
    <t>Building Repair &amp; Maintenance Hereford</t>
  </si>
  <si>
    <t>Building Repair &amp; Maintenance Amarillo</t>
  </si>
  <si>
    <t>Tax Real Property Lubbock</t>
  </si>
  <si>
    <t>Tax Real Property Hereford</t>
  </si>
  <si>
    <t>Tax Real Property Amarillo</t>
  </si>
  <si>
    <t>Utilities</t>
  </si>
  <si>
    <t>Advertising PR</t>
  </si>
  <si>
    <t>Credit Card Fees</t>
  </si>
  <si>
    <t>Communication Equipment Lubbock</t>
  </si>
  <si>
    <t>Communication Equipment Hereford</t>
  </si>
  <si>
    <t>Communication Equipment Amarillo</t>
  </si>
  <si>
    <t>Communications</t>
  </si>
  <si>
    <t>Property &amp; Casualty Insurance</t>
  </si>
  <si>
    <t>Lide Insurance Officers</t>
  </si>
  <si>
    <t>Professional Fees</t>
  </si>
  <si>
    <t>Software Maintenance</t>
  </si>
  <si>
    <t>VAI</t>
  </si>
  <si>
    <t>Travel Expenses</t>
  </si>
  <si>
    <t xml:space="preserve">Lodging Expenses </t>
  </si>
  <si>
    <t>Interest Income</t>
  </si>
  <si>
    <t>Vehicle Repair &amp; Maintenance</t>
  </si>
  <si>
    <t>Fuel &amp; Oil</t>
  </si>
  <si>
    <t>Commisions</t>
  </si>
  <si>
    <t>Taxes</t>
  </si>
  <si>
    <t>Other Fixed</t>
  </si>
  <si>
    <t>TOTAL FIXED EXPENSES</t>
  </si>
  <si>
    <t>TOTAL EXPENSES</t>
  </si>
  <si>
    <t>NET INCOME BEFORE TAXES</t>
  </si>
  <si>
    <t>Other Income</t>
  </si>
  <si>
    <t>Miscellaneous Income</t>
  </si>
  <si>
    <t>Reserved</t>
  </si>
  <si>
    <t>Total Other Income</t>
  </si>
  <si>
    <t>Other Expenses</t>
  </si>
  <si>
    <t>Total Other Income/Expenses</t>
  </si>
  <si>
    <t>NET BEFORE TAXES</t>
  </si>
  <si>
    <t>TAXES</t>
  </si>
  <si>
    <t xml:space="preserve"> Total Net Income (Loss)</t>
  </si>
  <si>
    <t>COS</t>
  </si>
  <si>
    <t>GM</t>
  </si>
  <si>
    <t>O/H %Sales</t>
  </si>
  <si>
    <t>O/H %COGS</t>
  </si>
  <si>
    <t>Variable Expense Growth</t>
  </si>
  <si>
    <t>Fixed Expense Growth</t>
  </si>
  <si>
    <t>Income Tax Rate</t>
  </si>
  <si>
    <t>Budgeted Year</t>
  </si>
  <si>
    <t>Indirect Labor (Wage Increases)</t>
  </si>
  <si>
    <t>Total Net Inc.</t>
  </si>
  <si>
    <t>Net Before Tx</t>
  </si>
  <si>
    <t>January</t>
  </si>
  <si>
    <t>February</t>
  </si>
  <si>
    <t>March</t>
  </si>
  <si>
    <t>April</t>
  </si>
  <si>
    <t>May</t>
  </si>
  <si>
    <t>June</t>
  </si>
  <si>
    <t>July</t>
  </si>
  <si>
    <t>August</t>
  </si>
  <si>
    <t>September</t>
  </si>
  <si>
    <t>October</t>
  </si>
  <si>
    <t>November</t>
  </si>
  <si>
    <t>December</t>
  </si>
  <si>
    <t>Website Sales</t>
  </si>
  <si>
    <t>SOURCE</t>
  </si>
  <si>
    <t>Total Sales</t>
  </si>
  <si>
    <t>Ave Monthly</t>
  </si>
  <si>
    <t>Herford Sales</t>
  </si>
  <si>
    <t>Freight &amp; Other Revenues</t>
  </si>
  <si>
    <t>TOTAL REVENUE</t>
  </si>
  <si>
    <t>Fixed Operating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</si>
</sst>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quot;$&quot;#,##0"/>
    <numFmt numFmtId="165" formatCode="#,##0\ _$"/>
    <numFmt numFmtId="166" formatCode="_(&quot;$&quot;* #,##0_);_(&quot;$&quot;* \(#,##0\);_(&quot;$&quot;* &quot;-&quot;??_);_(@_)"/>
    <numFmt numFmtId="167" formatCode="_(* #,##0_);_(* \(#,##0\);_(* &quot;-&quot;??_);_(@_)"/>
    <numFmt numFmtId="168" formatCode="&quot;$&quot;* #,##0.00;\(&quot;$&quot;* #,##0.00\)"/>
    <numFmt numFmtId="169" formatCode="&quot;$&quot;#,##0.00"/>
    <numFmt numFmtId="170" formatCode="0.0%"/>
  </numFmts>
  <fonts count="23" x14ac:knownFonts="1">
    <font>
      <sz val="11"/>
      <color theme="1"/>
      <name val="Calibri"/>
      <family val="2"/>
      <scheme val="minor"/>
    </font>
    <font>
      <sz val="11"/>
      <color theme="1"/>
      <name val="Calibri"/>
      <family val="2"/>
      <scheme val="minor"/>
    </font>
    <font>
      <sz val="12"/>
      <name val="Arial"/>
      <family val="2"/>
    </font>
    <font>
      <sz val="10"/>
      <name val="Arial"/>
      <family val="2"/>
    </font>
    <font>
      <b/>
      <sz val="12"/>
      <name val="Arial"/>
      <family val="2"/>
    </font>
    <font>
      <b/>
      <sz val="20"/>
      <name val="Arial"/>
      <family val="2"/>
    </font>
    <font>
      <b/>
      <sz val="8"/>
      <color indexed="8"/>
      <name val="Arial"/>
      <family val="2"/>
    </font>
    <font>
      <b/>
      <sz val="26"/>
      <color indexed="10"/>
      <name val="Arial"/>
      <family val="2"/>
    </font>
    <font>
      <b/>
      <sz val="10"/>
      <name val="Arial"/>
      <family val="2"/>
    </font>
    <font>
      <b/>
      <sz val="11"/>
      <name val="Arial"/>
      <family val="2"/>
    </font>
    <font>
      <b/>
      <sz val="10"/>
      <color indexed="8"/>
      <name val="Arial"/>
      <family val="2"/>
    </font>
    <font>
      <b/>
      <sz val="11"/>
      <color indexed="8"/>
      <name val="Arial"/>
      <family val="2"/>
    </font>
    <font>
      <b/>
      <sz val="12"/>
      <color indexed="8"/>
      <name val="Arial"/>
      <family val="2"/>
    </font>
    <font>
      <sz val="10"/>
      <name val="Arial"/>
      <family val="2"/>
    </font>
    <font>
      <b/>
      <sz val="8"/>
      <name val="Arial"/>
      <family val="2"/>
    </font>
    <font>
      <sz val="12"/>
      <color indexed="8"/>
      <name val="Arial"/>
      <family val="2"/>
    </font>
    <font>
      <sz val="11"/>
      <color indexed="8"/>
      <name val="Arial"/>
      <family val="2"/>
    </font>
    <font>
      <b/>
      <sz val="9"/>
      <color indexed="81"/>
      <name val="Tahoma"/>
      <family val="2"/>
    </font>
    <font>
      <sz val="9"/>
      <color indexed="81"/>
      <name val="Tahoma"/>
      <family val="2"/>
    </font>
    <font>
      <b/>
      <sz val="8"/>
      <color indexed="81"/>
      <name val="Tahoma"/>
      <family val="2"/>
    </font>
    <font>
      <sz val="8"/>
      <color indexed="81"/>
      <name val="Tahoma"/>
      <family val="2"/>
    </font>
    <font>
      <b/>
      <sz val="16"/>
      <color indexed="81"/>
      <name val="Tahoma"/>
      <family val="2"/>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theme="0" tint="-0.14996795556505021"/>
        <bgColor indexed="64"/>
      </patternFill>
    </fill>
    <fill>
      <patternFill patternType="solid">
        <fgColor theme="8" tint="0.79998168889431442"/>
        <bgColor indexed="64"/>
      </patternFill>
    </fill>
  </fills>
  <borders count="45">
    <border>
      <left/>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93">
    <xf numFmtId="0" fontId="0" fillId="0" borderId="0" xfId="0"/>
    <xf numFmtId="164" fontId="2" fillId="2" borderId="1" xfId="0" applyNumberFormat="1" applyFont="1" applyFill="1" applyBorder="1" applyAlignment="1">
      <alignment horizontal="center"/>
    </xf>
    <xf numFmtId="164" fontId="2" fillId="2" borderId="2" xfId="0" applyNumberFormat="1" applyFont="1" applyFill="1" applyBorder="1" applyAlignment="1">
      <alignment horizontal="center"/>
    </xf>
    <xf numFmtId="164" fontId="3" fillId="2" borderId="2" xfId="0" applyNumberFormat="1" applyFont="1" applyFill="1" applyBorder="1" applyAlignment="1">
      <alignment horizontal="center"/>
    </xf>
    <xf numFmtId="3" fontId="4" fillId="0" borderId="3" xfId="0" applyNumberFormat="1" applyFont="1" applyBorder="1"/>
    <xf numFmtId="10" fontId="0" fillId="0" borderId="3" xfId="0" applyNumberFormat="1" applyBorder="1"/>
    <xf numFmtId="0" fontId="0" fillId="0" borderId="3" xfId="0" applyBorder="1"/>
    <xf numFmtId="0" fontId="4" fillId="0" borderId="3" xfId="0" applyFont="1" applyBorder="1"/>
    <xf numFmtId="3" fontId="0" fillId="0" borderId="3" xfId="0" applyNumberFormat="1" applyBorder="1"/>
    <xf numFmtId="10" fontId="0" fillId="0" borderId="4" xfId="0" applyNumberFormat="1" applyBorder="1"/>
    <xf numFmtId="3" fontId="0" fillId="0" borderId="0" xfId="0" applyNumberFormat="1"/>
    <xf numFmtId="49" fontId="6" fillId="0" borderId="0" xfId="0" applyNumberFormat="1" applyFont="1" applyAlignment="1">
      <alignment horizontal="center"/>
    </xf>
    <xf numFmtId="0" fontId="0" fillId="0" borderId="0" xfId="0" applyAlignment="1">
      <alignment horizontal="center"/>
    </xf>
    <xf numFmtId="10" fontId="0" fillId="0" borderId="9" xfId="0" applyNumberFormat="1" applyBorder="1"/>
    <xf numFmtId="3" fontId="4" fillId="0" borderId="10" xfId="0" applyNumberFormat="1" applyFont="1" applyBorder="1"/>
    <xf numFmtId="10" fontId="4" fillId="0" borderId="10" xfId="0" applyNumberFormat="1" applyFont="1" applyBorder="1"/>
    <xf numFmtId="49" fontId="6" fillId="0" borderId="0" xfId="0" applyNumberFormat="1" applyFont="1"/>
    <xf numFmtId="3" fontId="4" fillId="0" borderId="12" xfId="0" applyNumberFormat="1" applyFont="1" applyBorder="1" applyAlignment="1">
      <alignment horizontal="center"/>
    </xf>
    <xf numFmtId="10" fontId="4" fillId="0" borderId="3" xfId="0" applyNumberFormat="1" applyFont="1" applyBorder="1" applyAlignment="1">
      <alignment horizontal="center"/>
    </xf>
    <xf numFmtId="0" fontId="4" fillId="0" borderId="3" xfId="0" applyFont="1" applyBorder="1" applyAlignment="1">
      <alignment horizontal="center"/>
    </xf>
    <xf numFmtId="0" fontId="4" fillId="0" borderId="10" xfId="0" applyFont="1" applyBorder="1" applyAlignment="1">
      <alignment horizontal="center"/>
    </xf>
    <xf numFmtId="0" fontId="4" fillId="0" borderId="4" xfId="0" applyFont="1" applyBorder="1" applyAlignment="1">
      <alignment horizontal="center"/>
    </xf>
    <xf numFmtId="165" fontId="4" fillId="0" borderId="10" xfId="0" applyNumberFormat="1" applyFont="1" applyBorder="1" applyAlignment="1">
      <alignment horizontal="left"/>
    </xf>
    <xf numFmtId="166" fontId="4" fillId="0" borderId="16" xfId="2" applyNumberFormat="1" applyFont="1" applyBorder="1"/>
    <xf numFmtId="166" fontId="4" fillId="0" borderId="17" xfId="2" applyNumberFormat="1" applyFont="1" applyBorder="1"/>
    <xf numFmtId="166" fontId="4" fillId="0" borderId="22" xfId="2" applyNumberFormat="1" applyFont="1" applyBorder="1"/>
    <xf numFmtId="3" fontId="4" fillId="0" borderId="5" xfId="0" applyNumberFormat="1" applyFont="1" applyBorder="1"/>
    <xf numFmtId="165" fontId="4" fillId="0" borderId="5" xfId="0" applyNumberFormat="1" applyFont="1" applyBorder="1" applyAlignment="1">
      <alignment horizontal="left"/>
    </xf>
    <xf numFmtId="167" fontId="4" fillId="0" borderId="27" xfId="1" applyNumberFormat="1" applyFont="1" applyBorder="1"/>
    <xf numFmtId="165" fontId="8" fillId="0" borderId="0" xfId="0" applyNumberFormat="1" applyFont="1" applyAlignment="1">
      <alignment horizontal="center"/>
    </xf>
    <xf numFmtId="16" fontId="0" fillId="0" borderId="5" xfId="0" applyNumberFormat="1" applyBorder="1" applyAlignment="1" applyProtection="1">
      <alignment horizontal="center"/>
      <protection locked="0"/>
    </xf>
    <xf numFmtId="0" fontId="0" fillId="0" borderId="18" xfId="0" applyBorder="1"/>
    <xf numFmtId="3" fontId="4" fillId="0" borderId="0" xfId="0" applyNumberFormat="1" applyFont="1"/>
    <xf numFmtId="10" fontId="0" fillId="0" borderId="0" xfId="0" applyNumberFormat="1"/>
    <xf numFmtId="0" fontId="0" fillId="0" borderId="5" xfId="0" applyBorder="1"/>
    <xf numFmtId="0" fontId="8" fillId="0" borderId="5" xfId="0" applyFont="1" applyBorder="1"/>
    <xf numFmtId="3" fontId="4" fillId="0" borderId="7" xfId="0" applyNumberFormat="1" applyFont="1" applyBorder="1" applyAlignment="1">
      <alignment horizontal="center"/>
    </xf>
    <xf numFmtId="0" fontId="8" fillId="0" borderId="0" xfId="0" applyFont="1"/>
    <xf numFmtId="165" fontId="0" fillId="0" borderId="0" xfId="0" applyNumberFormat="1"/>
    <xf numFmtId="0" fontId="0" fillId="0" borderId="12" xfId="0" applyBorder="1"/>
    <xf numFmtId="10" fontId="8" fillId="0" borderId="7" xfId="0" applyNumberFormat="1" applyFont="1" applyBorder="1" applyAlignment="1">
      <alignment horizontal="center"/>
    </xf>
    <xf numFmtId="3" fontId="8" fillId="0" borderId="4" xfId="0" applyNumberFormat="1" applyFont="1" applyBorder="1" applyAlignment="1">
      <alignment horizontal="center"/>
    </xf>
    <xf numFmtId="3" fontId="8" fillId="0" borderId="7" xfId="0" applyNumberFormat="1" applyFont="1" applyBorder="1" applyAlignment="1">
      <alignment horizontal="center"/>
    </xf>
    <xf numFmtId="0" fontId="0" fillId="4" borderId="5" xfId="0" applyFill="1" applyBorder="1"/>
    <xf numFmtId="0" fontId="9" fillId="4" borderId="5" xfId="0" applyFont="1" applyFill="1" applyBorder="1"/>
    <xf numFmtId="3" fontId="4" fillId="4" borderId="10" xfId="0" applyNumberFormat="1" applyFont="1" applyFill="1" applyBorder="1" applyAlignment="1" applyProtection="1">
      <alignment horizontal="center"/>
      <protection locked="0"/>
    </xf>
    <xf numFmtId="10" fontId="8" fillId="4" borderId="10" xfId="0" applyNumberFormat="1" applyFont="1" applyFill="1" applyBorder="1"/>
    <xf numFmtId="0" fontId="8" fillId="4" borderId="6" xfId="0" applyFont="1" applyFill="1" applyBorder="1" applyAlignment="1">
      <alignment horizontal="center"/>
    </xf>
    <xf numFmtId="0" fontId="8" fillId="4" borderId="10" xfId="0" applyFont="1" applyFill="1" applyBorder="1" applyAlignment="1">
      <alignment horizontal="center"/>
    </xf>
    <xf numFmtId="10" fontId="8" fillId="4" borderId="10" xfId="0" applyNumberFormat="1" applyFont="1" applyFill="1" applyBorder="1" applyAlignment="1">
      <alignment horizontal="center"/>
    </xf>
    <xf numFmtId="49" fontId="10" fillId="0" borderId="0" xfId="0" applyNumberFormat="1" applyFont="1"/>
    <xf numFmtId="0" fontId="3" fillId="0" borderId="18" xfId="0" applyFont="1" applyBorder="1" applyProtection="1">
      <protection locked="0"/>
    </xf>
    <xf numFmtId="0" fontId="11" fillId="0" borderId="7" xfId="0" applyFont="1" applyBorder="1"/>
    <xf numFmtId="168" fontId="12" fillId="5" borderId="11" xfId="0" applyNumberFormat="1" applyFont="1" applyFill="1" applyBorder="1" applyAlignment="1">
      <alignment horizontal="center"/>
    </xf>
    <xf numFmtId="10" fontId="0" fillId="0" borderId="9" xfId="0" applyNumberFormat="1" applyBorder="1" applyAlignment="1">
      <alignment horizontal="center"/>
    </xf>
    <xf numFmtId="164" fontId="13" fillId="0" borderId="9" xfId="1" applyNumberFormat="1" applyFont="1" applyBorder="1" applyAlignment="1">
      <alignment horizontal="center"/>
    </xf>
    <xf numFmtId="10" fontId="0" fillId="0" borderId="11" xfId="0" applyNumberFormat="1" applyBorder="1" applyAlignment="1">
      <alignment horizontal="center"/>
    </xf>
    <xf numFmtId="0" fontId="11" fillId="0" borderId="11" xfId="0" applyFont="1" applyBorder="1"/>
    <xf numFmtId="169" fontId="12" fillId="5" borderId="11" xfId="0" applyNumberFormat="1" applyFont="1" applyFill="1" applyBorder="1" applyAlignment="1">
      <alignment horizontal="center"/>
    </xf>
    <xf numFmtId="0" fontId="9" fillId="0" borderId="10" xfId="0" applyFont="1" applyBorder="1"/>
    <xf numFmtId="169" fontId="4" fillId="0" borderId="10" xfId="0" applyNumberFormat="1" applyFont="1" applyBorder="1" applyAlignment="1">
      <alignment horizontal="center"/>
    </xf>
    <xf numFmtId="10" fontId="0" fillId="0" borderId="10" xfId="0" applyNumberFormat="1" applyBorder="1" applyAlignment="1">
      <alignment horizontal="center"/>
    </xf>
    <xf numFmtId="164" fontId="4" fillId="0" borderId="10" xfId="0" applyNumberFormat="1" applyFont="1" applyBorder="1" applyAlignment="1">
      <alignment horizontal="center"/>
    </xf>
    <xf numFmtId="0" fontId="9" fillId="0" borderId="18" xfId="0" applyFont="1" applyBorder="1"/>
    <xf numFmtId="3" fontId="4" fillId="0" borderId="11" xfId="0" applyNumberFormat="1" applyFont="1" applyBorder="1" applyAlignment="1">
      <alignment horizontal="center"/>
    </xf>
    <xf numFmtId="3" fontId="4" fillId="0" borderId="9" xfId="0" applyNumberFormat="1" applyFont="1" applyBorder="1" applyAlignment="1">
      <alignment horizontal="center"/>
    </xf>
    <xf numFmtId="164" fontId="4" fillId="0" borderId="11" xfId="0" applyNumberFormat="1" applyFont="1" applyBorder="1" applyAlignment="1">
      <alignment horizontal="center"/>
    </xf>
    <xf numFmtId="3" fontId="8" fillId="0" borderId="0" xfId="0" applyNumberFormat="1" applyFont="1"/>
    <xf numFmtId="0" fontId="9" fillId="4" borderId="10" xfId="0" applyFont="1" applyFill="1" applyBorder="1"/>
    <xf numFmtId="3" fontId="4" fillId="4" borderId="10" xfId="0" applyNumberFormat="1" applyFont="1" applyFill="1" applyBorder="1" applyAlignment="1">
      <alignment horizontal="center"/>
    </xf>
    <xf numFmtId="3" fontId="4" fillId="4" borderId="6" xfId="0" applyNumberFormat="1" applyFont="1" applyFill="1" applyBorder="1" applyAlignment="1">
      <alignment horizontal="center"/>
    </xf>
    <xf numFmtId="164" fontId="4" fillId="4" borderId="10" xfId="0" applyNumberFormat="1" applyFont="1" applyFill="1" applyBorder="1" applyAlignment="1">
      <alignment horizontal="center"/>
    </xf>
    <xf numFmtId="0" fontId="0" fillId="0" borderId="18" xfId="0" applyBorder="1" applyProtection="1">
      <protection locked="0"/>
    </xf>
    <xf numFmtId="0" fontId="0" fillId="0" borderId="1" xfId="0" applyBorder="1"/>
    <xf numFmtId="164" fontId="3" fillId="2" borderId="1" xfId="0" applyNumberFormat="1" applyFont="1" applyFill="1" applyBorder="1" applyAlignment="1">
      <alignment horizontal="center"/>
    </xf>
    <xf numFmtId="10" fontId="3" fillId="0" borderId="11" xfId="0" applyNumberFormat="1" applyFont="1" applyBorder="1" applyAlignment="1">
      <alignment horizontal="center"/>
    </xf>
    <xf numFmtId="3" fontId="3" fillId="0" borderId="0" xfId="0" applyNumberFormat="1" applyFont="1"/>
    <xf numFmtId="0" fontId="0" fillId="0" borderId="2" xfId="0" applyBorder="1"/>
    <xf numFmtId="2" fontId="10" fillId="0" borderId="0" xfId="0" applyNumberFormat="1" applyFont="1"/>
    <xf numFmtId="0" fontId="3" fillId="0" borderId="2" xfId="0" applyFont="1" applyBorder="1"/>
    <xf numFmtId="164" fontId="3" fillId="2" borderId="2" xfId="1" applyNumberFormat="1" applyFont="1" applyFill="1" applyBorder="1" applyAlignment="1" applyProtection="1">
      <alignment horizontal="center"/>
      <protection locked="0"/>
    </xf>
    <xf numFmtId="10" fontId="4" fillId="0" borderId="10" xfId="0" applyNumberFormat="1" applyFont="1" applyBorder="1" applyAlignment="1">
      <alignment horizontal="center"/>
    </xf>
    <xf numFmtId="167" fontId="0" fillId="0" borderId="0" xfId="0" applyNumberFormat="1"/>
    <xf numFmtId="10" fontId="4" fillId="0" borderId="6" xfId="0" applyNumberFormat="1" applyFont="1" applyBorder="1" applyAlignment="1">
      <alignment horizontal="center"/>
    </xf>
    <xf numFmtId="3" fontId="2" fillId="0" borderId="9" xfId="0" applyNumberFormat="1" applyFont="1" applyBorder="1" applyAlignment="1">
      <alignment horizontal="center"/>
    </xf>
    <xf numFmtId="164" fontId="2" fillId="0" borderId="11" xfId="0" applyNumberFormat="1" applyFont="1" applyBorder="1" applyAlignment="1">
      <alignment horizontal="center"/>
    </xf>
    <xf numFmtId="3" fontId="2" fillId="0" borderId="11" xfId="0" applyNumberFormat="1" applyFont="1" applyBorder="1" applyAlignment="1">
      <alignment horizontal="center"/>
    </xf>
    <xf numFmtId="37" fontId="4" fillId="4" borderId="10" xfId="0" applyNumberFormat="1" applyFont="1" applyFill="1" applyBorder="1" applyAlignment="1">
      <alignment horizontal="center"/>
    </xf>
    <xf numFmtId="3" fontId="3" fillId="0" borderId="0" xfId="0" applyNumberFormat="1" applyFont="1" applyAlignment="1">
      <alignment horizontal="center"/>
    </xf>
    <xf numFmtId="0" fontId="3" fillId="0" borderId="0" xfId="0" applyFont="1"/>
    <xf numFmtId="2" fontId="8" fillId="0" borderId="0" xfId="0" applyNumberFormat="1" applyFont="1"/>
    <xf numFmtId="49" fontId="8" fillId="0" borderId="0" xfId="0" applyNumberFormat="1" applyFont="1"/>
    <xf numFmtId="49" fontId="14" fillId="0" borderId="0" xfId="0" applyNumberFormat="1" applyFont="1"/>
    <xf numFmtId="0" fontId="14" fillId="0" borderId="0" xfId="0" applyFont="1"/>
    <xf numFmtId="0" fontId="8" fillId="0" borderId="28" xfId="0" applyFont="1" applyBorder="1"/>
    <xf numFmtId="164" fontId="9" fillId="2" borderId="29" xfId="0" applyNumberFormat="1" applyFont="1" applyFill="1" applyBorder="1" applyAlignment="1">
      <alignment horizontal="center"/>
    </xf>
    <xf numFmtId="10" fontId="8" fillId="0" borderId="30" xfId="0" applyNumberFormat="1" applyFont="1" applyBorder="1" applyAlignment="1">
      <alignment horizontal="center"/>
    </xf>
    <xf numFmtId="164" fontId="8" fillId="0" borderId="30" xfId="1" applyNumberFormat="1" applyFont="1" applyBorder="1" applyAlignment="1">
      <alignment horizontal="center"/>
    </xf>
    <xf numFmtId="10" fontId="8" fillId="0" borderId="31" xfId="0" applyNumberFormat="1" applyFont="1" applyBorder="1" applyAlignment="1">
      <alignment horizontal="center"/>
    </xf>
    <xf numFmtId="0" fontId="9" fillId="0" borderId="7" xfId="0" applyFont="1" applyBorder="1"/>
    <xf numFmtId="164" fontId="4" fillId="0" borderId="23" xfId="1" applyNumberFormat="1" applyFont="1" applyBorder="1" applyAlignment="1" applyProtection="1">
      <alignment horizontal="center"/>
      <protection locked="0"/>
    </xf>
    <xf numFmtId="10" fontId="8" fillId="0" borderId="10" xfId="0" applyNumberFormat="1" applyFont="1" applyBorder="1" applyAlignment="1">
      <alignment horizontal="center"/>
    </xf>
    <xf numFmtId="0" fontId="9" fillId="0" borderId="11" xfId="0" applyFont="1" applyBorder="1"/>
    <xf numFmtId="164" fontId="4" fillId="0" borderId="23" xfId="0" applyNumberFormat="1" applyFont="1" applyBorder="1" applyAlignment="1">
      <alignment horizontal="center"/>
    </xf>
    <xf numFmtId="10" fontId="8" fillId="0" borderId="32" xfId="0" applyNumberFormat="1" applyFont="1" applyBorder="1" applyAlignment="1">
      <alignment horizontal="center"/>
    </xf>
    <xf numFmtId="49" fontId="11" fillId="0" borderId="11" xfId="0" applyNumberFormat="1" applyFont="1" applyBorder="1"/>
    <xf numFmtId="164" fontId="15" fillId="2" borderId="33" xfId="0" applyNumberFormat="1" applyFont="1" applyFill="1" applyBorder="1" applyAlignment="1">
      <alignment horizontal="center"/>
    </xf>
    <xf numFmtId="10" fontId="3" fillId="0" borderId="34" xfId="0" applyNumberFormat="1" applyFont="1" applyBorder="1" applyAlignment="1">
      <alignment horizontal="center"/>
    </xf>
    <xf numFmtId="164" fontId="3" fillId="0" borderId="34" xfId="1" applyNumberFormat="1" applyFont="1" applyBorder="1" applyAlignment="1">
      <alignment horizontal="center"/>
    </xf>
    <xf numFmtId="164" fontId="13" fillId="0" borderId="35" xfId="1" applyNumberFormat="1" applyFont="1" applyBorder="1" applyAlignment="1" applyProtection="1">
      <alignment horizontal="center"/>
      <protection locked="0"/>
    </xf>
    <xf numFmtId="0" fontId="11" fillId="0" borderId="18" xfId="0" applyFont="1" applyBorder="1"/>
    <xf numFmtId="164" fontId="15" fillId="2" borderId="36" xfId="0" applyNumberFormat="1" applyFont="1" applyFill="1" applyBorder="1" applyAlignment="1">
      <alignment horizontal="center"/>
    </xf>
    <xf numFmtId="164" fontId="13" fillId="0" borderId="2" xfId="1" applyNumberFormat="1" applyFont="1" applyBorder="1" applyAlignment="1" applyProtection="1">
      <alignment horizontal="center"/>
      <protection locked="0"/>
    </xf>
    <xf numFmtId="164" fontId="16" fillId="2" borderId="36" xfId="0" applyNumberFormat="1" applyFont="1" applyFill="1" applyBorder="1" applyAlignment="1">
      <alignment horizontal="center"/>
    </xf>
    <xf numFmtId="49" fontId="11" fillId="0" borderId="18" xfId="0" applyNumberFormat="1" applyFont="1" applyBorder="1"/>
    <xf numFmtId="0" fontId="6" fillId="0" borderId="0" xfId="0" applyFont="1"/>
    <xf numFmtId="0" fontId="9" fillId="0" borderId="0" xfId="0" applyFont="1"/>
    <xf numFmtId="164" fontId="13" fillId="0" borderId="28" xfId="1" applyNumberFormat="1" applyFont="1" applyBorder="1" applyAlignment="1" applyProtection="1">
      <alignment horizontal="center"/>
      <protection locked="0"/>
    </xf>
    <xf numFmtId="3" fontId="4" fillId="0" borderId="0" xfId="0" applyNumberFormat="1" applyFont="1" applyAlignment="1">
      <alignment horizontal="center"/>
    </xf>
    <xf numFmtId="10" fontId="0" fillId="0" borderId="0" xfId="0" applyNumberFormat="1" applyAlignment="1">
      <alignment horizontal="center"/>
    </xf>
    <xf numFmtId="0" fontId="4" fillId="3" borderId="34" xfId="0" applyFont="1" applyFill="1" applyBorder="1" applyAlignment="1">
      <alignment horizontal="center"/>
    </xf>
    <xf numFmtId="3" fontId="0" fillId="0" borderId="0" xfId="3" applyNumberFormat="1" applyFont="1"/>
    <xf numFmtId="10" fontId="0" fillId="0" borderId="0" xfId="3" applyNumberFormat="1" applyFont="1"/>
    <xf numFmtId="3" fontId="0" fillId="0" borderId="0" xfId="0" applyNumberFormat="1" applyAlignment="1">
      <alignment horizontal="center"/>
    </xf>
    <xf numFmtId="165" fontId="4" fillId="0" borderId="18" xfId="0" applyNumberFormat="1" applyFont="1" applyBorder="1" applyAlignment="1">
      <alignment horizontal="left"/>
    </xf>
    <xf numFmtId="164" fontId="8" fillId="0" borderId="10" xfId="1" applyNumberFormat="1" applyFont="1" applyBorder="1" applyAlignment="1" applyProtection="1">
      <alignment horizontal="center"/>
      <protection locked="0"/>
    </xf>
    <xf numFmtId="164" fontId="8" fillId="0" borderId="11" xfId="1" applyNumberFormat="1" applyFont="1" applyBorder="1" applyAlignment="1" applyProtection="1">
      <alignment horizontal="center"/>
      <protection locked="0"/>
    </xf>
    <xf numFmtId="10" fontId="0" fillId="0" borderId="35" xfId="0" applyNumberFormat="1" applyBorder="1" applyAlignment="1">
      <alignment horizontal="center"/>
    </xf>
    <xf numFmtId="10" fontId="0" fillId="0" borderId="2" xfId="0" applyNumberFormat="1" applyBorder="1" applyAlignment="1">
      <alignment horizontal="center"/>
    </xf>
    <xf numFmtId="10" fontId="0" fillId="0" borderId="28" xfId="0" applyNumberFormat="1" applyBorder="1" applyAlignment="1">
      <alignment horizontal="center"/>
    </xf>
    <xf numFmtId="164" fontId="3" fillId="0" borderId="38" xfId="1" applyNumberFormat="1" applyFont="1" applyBorder="1" applyAlignment="1" applyProtection="1">
      <alignment horizontal="center"/>
      <protection locked="0"/>
    </xf>
    <xf numFmtId="164" fontId="4" fillId="0" borderId="10" xfId="1" applyNumberFormat="1" applyFont="1" applyBorder="1" applyAlignment="1" applyProtection="1">
      <alignment horizontal="center"/>
      <protection locked="0"/>
    </xf>
    <xf numFmtId="164" fontId="3" fillId="0" borderId="35" xfId="1" applyNumberFormat="1" applyFont="1" applyBorder="1" applyAlignment="1" applyProtection="1">
      <alignment horizontal="center"/>
      <protection locked="0"/>
    </xf>
    <xf numFmtId="164" fontId="15" fillId="0" borderId="40" xfId="0" applyNumberFormat="1" applyFont="1" applyBorder="1" applyAlignment="1">
      <alignment horizontal="center"/>
    </xf>
    <xf numFmtId="10" fontId="3" fillId="0" borderId="41" xfId="0" applyNumberFormat="1" applyFont="1" applyBorder="1" applyAlignment="1">
      <alignment horizontal="center"/>
    </xf>
    <xf numFmtId="164" fontId="3" fillId="0" borderId="41" xfId="1" applyNumberFormat="1" applyFont="1" applyBorder="1" applyAlignment="1">
      <alignment horizontal="center"/>
    </xf>
    <xf numFmtId="164" fontId="13" fillId="0" borderId="39" xfId="1" applyNumberFormat="1" applyFont="1" applyBorder="1" applyAlignment="1" applyProtection="1">
      <alignment horizontal="center"/>
      <protection locked="0"/>
    </xf>
    <xf numFmtId="164" fontId="3" fillId="0" borderId="42" xfId="1" applyNumberFormat="1" applyFont="1" applyBorder="1" applyAlignment="1" applyProtection="1">
      <alignment horizontal="center"/>
      <protection locked="0"/>
    </xf>
    <xf numFmtId="164" fontId="11" fillId="0" borderId="10" xfId="0" applyNumberFormat="1" applyFont="1" applyBorder="1" applyAlignment="1">
      <alignment horizontal="center"/>
    </xf>
    <xf numFmtId="164" fontId="2" fillId="0" borderId="29" xfId="0" applyNumberFormat="1" applyFont="1" applyBorder="1" applyAlignment="1">
      <alignment horizontal="center"/>
    </xf>
    <xf numFmtId="169" fontId="16" fillId="0" borderId="30" xfId="0" applyNumberFormat="1" applyFont="1" applyBorder="1" applyAlignment="1">
      <alignment horizontal="center"/>
    </xf>
    <xf numFmtId="164" fontId="13" fillId="0" borderId="30" xfId="1" applyNumberFormat="1" applyFont="1" applyBorder="1" applyAlignment="1" applyProtection="1">
      <alignment horizontal="center"/>
      <protection locked="0"/>
    </xf>
    <xf numFmtId="164" fontId="3" fillId="0" borderId="30" xfId="1" applyNumberFormat="1" applyFont="1" applyBorder="1" applyAlignment="1" applyProtection="1">
      <alignment horizontal="center"/>
      <protection locked="0"/>
    </xf>
    <xf numFmtId="0" fontId="4" fillId="3" borderId="38" xfId="0" applyFont="1" applyFill="1" applyBorder="1" applyAlignment="1">
      <alignment horizontal="center"/>
    </xf>
    <xf numFmtId="164" fontId="4" fillId="3" borderId="43" xfId="3" applyNumberFormat="1" applyFont="1" applyFill="1" applyBorder="1" applyAlignment="1">
      <alignment horizontal="center"/>
    </xf>
    <xf numFmtId="164" fontId="4" fillId="3" borderId="37" xfId="3" applyNumberFormat="1" applyFont="1" applyFill="1" applyBorder="1" applyAlignment="1">
      <alignment horizontal="center"/>
    </xf>
    <xf numFmtId="10" fontId="4" fillId="3" borderId="16" xfId="3" applyNumberFormat="1" applyFont="1" applyFill="1" applyBorder="1" applyAlignment="1">
      <alignment horizontal="center"/>
    </xf>
    <xf numFmtId="10" fontId="4" fillId="3" borderId="34" xfId="3" applyNumberFormat="1" applyFont="1" applyFill="1" applyBorder="1" applyAlignment="1">
      <alignment horizontal="center"/>
    </xf>
    <xf numFmtId="164" fontId="4" fillId="3" borderId="34" xfId="0" applyNumberFormat="1" applyFont="1" applyFill="1" applyBorder="1" applyAlignment="1">
      <alignment horizontal="center"/>
    </xf>
    <xf numFmtId="169" fontId="12" fillId="0" borderId="10" xfId="0" applyNumberFormat="1" applyFont="1" applyBorder="1" applyAlignment="1">
      <alignment horizontal="center"/>
    </xf>
    <xf numFmtId="10" fontId="3" fillId="0" borderId="31" xfId="0" applyNumberFormat="1" applyFont="1" applyBorder="1" applyAlignment="1">
      <alignment horizontal="center"/>
    </xf>
    <xf numFmtId="10" fontId="22" fillId="0" borderId="10" xfId="0" applyNumberFormat="1" applyFont="1" applyBorder="1"/>
    <xf numFmtId="10" fontId="22" fillId="0" borderId="7" xfId="0" applyNumberFormat="1" applyFont="1" applyBorder="1"/>
    <xf numFmtId="10" fontId="22" fillId="0" borderId="11" xfId="0" applyNumberFormat="1" applyFont="1" applyBorder="1"/>
    <xf numFmtId="0" fontId="22" fillId="0" borderId="0" xfId="0" applyFont="1" applyAlignment="1">
      <alignment horizontal="center"/>
    </xf>
    <xf numFmtId="164" fontId="13" fillId="0" borderId="0" xfId="1" applyNumberFormat="1" applyFont="1" applyAlignment="1">
      <alignment horizontal="center"/>
    </xf>
    <xf numFmtId="164" fontId="4" fillId="0" borderId="5" xfId="0" applyNumberFormat="1" applyFont="1" applyBorder="1" applyAlignment="1">
      <alignment horizontal="center"/>
    </xf>
    <xf numFmtId="164" fontId="4" fillId="4" borderId="5" xfId="0" applyNumberFormat="1" applyFont="1" applyFill="1" applyBorder="1" applyAlignment="1">
      <alignment horizontal="center"/>
    </xf>
    <xf numFmtId="164" fontId="8" fillId="0" borderId="44" xfId="1" applyNumberFormat="1" applyFont="1" applyBorder="1" applyAlignment="1">
      <alignment horizontal="center"/>
    </xf>
    <xf numFmtId="0" fontId="22" fillId="4" borderId="29" xfId="0" applyFont="1" applyFill="1" applyBorder="1" applyAlignment="1">
      <alignment horizontal="center"/>
    </xf>
    <xf numFmtId="0" fontId="22" fillId="4" borderId="30" xfId="0" applyFont="1" applyFill="1" applyBorder="1" applyAlignment="1">
      <alignment horizontal="center"/>
    </xf>
    <xf numFmtId="0" fontId="22" fillId="4" borderId="31" xfId="0" applyFont="1" applyFill="1" applyBorder="1" applyAlignment="1">
      <alignment horizontal="center"/>
    </xf>
    <xf numFmtId="164" fontId="0" fillId="0" borderId="0" xfId="0" applyNumberFormat="1" applyAlignment="1">
      <alignment horizontal="center"/>
    </xf>
    <xf numFmtId="170" fontId="0" fillId="5" borderId="10" xfId="0" applyNumberFormat="1" applyFill="1" applyBorder="1" applyAlignment="1">
      <alignment horizontal="center"/>
    </xf>
    <xf numFmtId="0" fontId="9" fillId="4" borderId="11" xfId="0" applyFont="1" applyFill="1" applyBorder="1"/>
    <xf numFmtId="3" fontId="4" fillId="4" borderId="11" xfId="0" applyNumberFormat="1" applyFont="1" applyFill="1" applyBorder="1" applyAlignment="1">
      <alignment horizontal="center"/>
    </xf>
    <xf numFmtId="3" fontId="4" fillId="4" borderId="9" xfId="0" applyNumberFormat="1" applyFont="1" applyFill="1" applyBorder="1" applyAlignment="1">
      <alignment horizontal="center"/>
    </xf>
    <xf numFmtId="164" fontId="4" fillId="4" borderId="0" xfId="0" applyNumberFormat="1" applyFont="1" applyFill="1" applyAlignment="1">
      <alignment horizontal="center"/>
    </xf>
    <xf numFmtId="164" fontId="0" fillId="0" borderId="33" xfId="0" applyNumberFormat="1" applyBorder="1" applyAlignment="1">
      <alignment horizontal="center"/>
    </xf>
    <xf numFmtId="0" fontId="9" fillId="4" borderId="18" xfId="0" applyFont="1" applyFill="1" applyBorder="1"/>
    <xf numFmtId="3" fontId="2" fillId="4" borderId="9" xfId="0" applyNumberFormat="1" applyFont="1" applyFill="1" applyBorder="1" applyAlignment="1">
      <alignment horizontal="center"/>
    </xf>
    <xf numFmtId="164" fontId="2" fillId="4" borderId="18" xfId="0" applyNumberFormat="1" applyFont="1" applyFill="1" applyBorder="1" applyAlignment="1">
      <alignment horizontal="center"/>
    </xf>
    <xf numFmtId="164" fontId="0" fillId="4" borderId="33" xfId="0" applyNumberFormat="1" applyFill="1" applyBorder="1" applyAlignment="1">
      <alignment horizontal="center"/>
    </xf>
    <xf numFmtId="165" fontId="5" fillId="0" borderId="5" xfId="0" applyNumberFormat="1" applyFont="1" applyBorder="1" applyAlignment="1">
      <alignment horizontal="center"/>
    </xf>
    <xf numFmtId="165" fontId="5" fillId="0" borderId="6" xfId="0" applyNumberFormat="1" applyFont="1" applyBorder="1" applyAlignment="1">
      <alignment horizontal="center"/>
    </xf>
    <xf numFmtId="0" fontId="7" fillId="3" borderId="7" xfId="0" applyFont="1" applyFill="1" applyBorder="1" applyAlignment="1" applyProtection="1">
      <alignment horizontal="center" vertical="center" textRotation="15"/>
      <protection locked="0"/>
    </xf>
    <xf numFmtId="0" fontId="7" fillId="3" borderId="11" xfId="0" applyFont="1" applyFill="1" applyBorder="1" applyAlignment="1" applyProtection="1">
      <alignment horizontal="center" vertical="center" textRotation="15"/>
      <protection locked="0"/>
    </xf>
    <xf numFmtId="0" fontId="7" fillId="3" borderId="23" xfId="0" applyFont="1" applyFill="1" applyBorder="1" applyAlignment="1" applyProtection="1">
      <alignment horizontal="center" vertical="center" textRotation="15"/>
      <protection locked="0"/>
    </xf>
    <xf numFmtId="0" fontId="4" fillId="0" borderId="5" xfId="0" applyFont="1" applyBorder="1" applyAlignment="1">
      <alignment horizontal="center"/>
    </xf>
    <xf numFmtId="0" fontId="4" fillId="0" borderId="8" xfId="0" applyFont="1" applyBorder="1" applyAlignment="1">
      <alignment horizontal="center"/>
    </xf>
    <xf numFmtId="0" fontId="4" fillId="0" borderId="6"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21" xfId="0" applyFont="1" applyBorder="1" applyAlignment="1">
      <alignment horizontal="center" wrapText="1"/>
    </xf>
    <xf numFmtId="0" fontId="4" fillId="0" borderId="24"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AA%20%20MB%20Mckee/Operations%20Manual/Financial%20Tools/Flex%20Budget%20-%202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ex Budget"/>
      <sheetName val="Monthly Budget"/>
      <sheetName val="Sheet1"/>
      <sheetName val="STD PROCEDURE"/>
      <sheetName val="Annual Budget"/>
      <sheetName val="Variables"/>
      <sheetName val="Forecast 5Y"/>
      <sheetName val="Break-even Point"/>
      <sheetName val="Break-even Chart"/>
      <sheetName val="January Variance Report"/>
      <sheetName val="February Variance Report"/>
      <sheetName val="March Variance Report"/>
      <sheetName val="April Variance Report"/>
      <sheetName val="May Variance Report"/>
      <sheetName val="June Variance Report"/>
      <sheetName val="July Variance Report"/>
      <sheetName val="August Variance Report"/>
      <sheetName val="September Variance Report"/>
      <sheetName val="October Variance Report"/>
      <sheetName val="November Variance Report"/>
      <sheetName val="December Variance Report"/>
      <sheetName val="YTD VARIANCE REPORT"/>
      <sheetName val="Break-Even Data"/>
    </sheetNames>
    <sheetDataSet>
      <sheetData sheetId="0" refreshError="1"/>
      <sheetData sheetId="1" refreshError="1"/>
      <sheetData sheetId="2" refreshError="1"/>
      <sheetData sheetId="3" refreshError="1"/>
      <sheetData sheetId="4" refreshError="1"/>
      <sheetData sheetId="5" refreshError="1">
        <row r="4">
          <cell r="C4">
            <v>0.06</v>
          </cell>
        </row>
        <row r="5">
          <cell r="C5">
            <v>0.03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A7D2-250F-46E9-AAC3-ABA6A919A31C}">
  <dimension ref="A1:BM201"/>
  <sheetViews>
    <sheetView topLeftCell="A77" workbookViewId="0">
      <selection activeCell="B11" sqref="B11:E84"/>
    </sheetView>
  </sheetViews>
  <sheetFormatPr defaultColWidth="9.21875" defaultRowHeight="15.6" x14ac:dyDescent="0.3"/>
  <cols>
    <col min="1" max="1" width="8.21875" bestFit="1" customWidth="1"/>
    <col min="2" max="2" width="48.77734375" bestFit="1" customWidth="1"/>
    <col min="3" max="3" width="18" style="32" bestFit="1" customWidth="1"/>
    <col min="4" max="4" width="10.5546875" style="33" customWidth="1"/>
    <col min="5" max="5" width="15.21875" bestFit="1" customWidth="1"/>
    <col min="6" max="6" width="17.5546875" bestFit="1" customWidth="1"/>
    <col min="7" max="7" width="14.77734375" bestFit="1" customWidth="1"/>
    <col min="8" max="8" width="16.5546875" style="10" bestFit="1" customWidth="1"/>
    <col min="9" max="9" width="10.21875" style="33" customWidth="1"/>
    <col min="10" max="10" width="6.21875" style="10" customWidth="1"/>
    <col min="11" max="11" width="7.21875" bestFit="1" customWidth="1"/>
    <col min="12" max="12" width="38.21875" style="38" bestFit="1" customWidth="1"/>
    <col min="13" max="13" width="19.77734375" customWidth="1"/>
    <col min="31" max="42" width="0" hidden="1" customWidth="1"/>
    <col min="48" max="48" width="22.21875" bestFit="1" customWidth="1"/>
    <col min="64" max="64" width="5.21875" style="115" customWidth="1"/>
    <col min="257" max="257" width="8.21875" bestFit="1" customWidth="1"/>
    <col min="258" max="258" width="48.77734375" bestFit="1" customWidth="1"/>
    <col min="259" max="259" width="18" bestFit="1" customWidth="1"/>
    <col min="260" max="260" width="10.5546875" customWidth="1"/>
    <col min="261" max="261" width="15.21875" bestFit="1" customWidth="1"/>
    <col min="262" max="262" width="17.5546875" bestFit="1" customWidth="1"/>
    <col min="263" max="263" width="14.77734375" bestFit="1" customWidth="1"/>
    <col min="264" max="264" width="16.5546875" bestFit="1" customWidth="1"/>
    <col min="265" max="265" width="10.21875" customWidth="1"/>
    <col min="266" max="266" width="6.21875" customWidth="1"/>
    <col min="267" max="267" width="7.21875" bestFit="1" customWidth="1"/>
    <col min="268" max="268" width="38.21875" bestFit="1" customWidth="1"/>
    <col min="269" max="269" width="19.77734375" customWidth="1"/>
    <col min="287" max="298" width="0" hidden="1" customWidth="1"/>
    <col min="304" max="304" width="22.21875" bestFit="1" customWidth="1"/>
    <col min="320" max="320" width="5.21875" customWidth="1"/>
    <col min="513" max="513" width="8.21875" bestFit="1" customWidth="1"/>
    <col min="514" max="514" width="48.77734375" bestFit="1" customWidth="1"/>
    <col min="515" max="515" width="18" bestFit="1" customWidth="1"/>
    <col min="516" max="516" width="10.5546875" customWidth="1"/>
    <col min="517" max="517" width="15.21875" bestFit="1" customWidth="1"/>
    <col min="518" max="518" width="17.5546875" bestFit="1" customWidth="1"/>
    <col min="519" max="519" width="14.77734375" bestFit="1" customWidth="1"/>
    <col min="520" max="520" width="16.5546875" bestFit="1" customWidth="1"/>
    <col min="521" max="521" width="10.21875" customWidth="1"/>
    <col min="522" max="522" width="6.21875" customWidth="1"/>
    <col min="523" max="523" width="7.21875" bestFit="1" customWidth="1"/>
    <col min="524" max="524" width="38.21875" bestFit="1" customWidth="1"/>
    <col min="525" max="525" width="19.77734375" customWidth="1"/>
    <col min="543" max="554" width="0" hidden="1" customWidth="1"/>
    <col min="560" max="560" width="22.21875" bestFit="1" customWidth="1"/>
    <col min="576" max="576" width="5.21875" customWidth="1"/>
    <col min="769" max="769" width="8.21875" bestFit="1" customWidth="1"/>
    <col min="770" max="770" width="48.77734375" bestFit="1" customWidth="1"/>
    <col min="771" max="771" width="18" bestFit="1" customWidth="1"/>
    <col min="772" max="772" width="10.5546875" customWidth="1"/>
    <col min="773" max="773" width="15.21875" bestFit="1" customWidth="1"/>
    <col min="774" max="774" width="17.5546875" bestFit="1" customWidth="1"/>
    <col min="775" max="775" width="14.77734375" bestFit="1" customWidth="1"/>
    <col min="776" max="776" width="16.5546875" bestFit="1" customWidth="1"/>
    <col min="777" max="777" width="10.21875" customWidth="1"/>
    <col min="778" max="778" width="6.21875" customWidth="1"/>
    <col min="779" max="779" width="7.21875" bestFit="1" customWidth="1"/>
    <col min="780" max="780" width="38.21875" bestFit="1" customWidth="1"/>
    <col min="781" max="781" width="19.77734375" customWidth="1"/>
    <col min="799" max="810" width="0" hidden="1" customWidth="1"/>
    <col min="816" max="816" width="22.21875" bestFit="1" customWidth="1"/>
    <col min="832" max="832" width="5.21875" customWidth="1"/>
    <col min="1025" max="1025" width="8.21875" bestFit="1" customWidth="1"/>
    <col min="1026" max="1026" width="48.77734375" bestFit="1" customWidth="1"/>
    <col min="1027" max="1027" width="18" bestFit="1" customWidth="1"/>
    <col min="1028" max="1028" width="10.5546875" customWidth="1"/>
    <col min="1029" max="1029" width="15.21875" bestFit="1" customWidth="1"/>
    <col min="1030" max="1030" width="17.5546875" bestFit="1" customWidth="1"/>
    <col min="1031" max="1031" width="14.77734375" bestFit="1" customWidth="1"/>
    <col min="1032" max="1032" width="16.5546875" bestFit="1" customWidth="1"/>
    <col min="1033" max="1033" width="10.21875" customWidth="1"/>
    <col min="1034" max="1034" width="6.21875" customWidth="1"/>
    <col min="1035" max="1035" width="7.21875" bestFit="1" customWidth="1"/>
    <col min="1036" max="1036" width="38.21875" bestFit="1" customWidth="1"/>
    <col min="1037" max="1037" width="19.77734375" customWidth="1"/>
    <col min="1055" max="1066" width="0" hidden="1" customWidth="1"/>
    <col min="1072" max="1072" width="22.21875" bestFit="1" customWidth="1"/>
    <col min="1088" max="1088" width="5.21875" customWidth="1"/>
    <col min="1281" max="1281" width="8.21875" bestFit="1" customWidth="1"/>
    <col min="1282" max="1282" width="48.77734375" bestFit="1" customWidth="1"/>
    <col min="1283" max="1283" width="18" bestFit="1" customWidth="1"/>
    <col min="1284" max="1284" width="10.5546875" customWidth="1"/>
    <col min="1285" max="1285" width="15.21875" bestFit="1" customWidth="1"/>
    <col min="1286" max="1286" width="17.5546875" bestFit="1" customWidth="1"/>
    <col min="1287" max="1287" width="14.77734375" bestFit="1" customWidth="1"/>
    <col min="1288" max="1288" width="16.5546875" bestFit="1" customWidth="1"/>
    <col min="1289" max="1289" width="10.21875" customWidth="1"/>
    <col min="1290" max="1290" width="6.21875" customWidth="1"/>
    <col min="1291" max="1291" width="7.21875" bestFit="1" customWidth="1"/>
    <col min="1292" max="1292" width="38.21875" bestFit="1" customWidth="1"/>
    <col min="1293" max="1293" width="19.77734375" customWidth="1"/>
    <col min="1311" max="1322" width="0" hidden="1" customWidth="1"/>
    <col min="1328" max="1328" width="22.21875" bestFit="1" customWidth="1"/>
    <col min="1344" max="1344" width="5.21875" customWidth="1"/>
    <col min="1537" max="1537" width="8.21875" bestFit="1" customWidth="1"/>
    <col min="1538" max="1538" width="48.77734375" bestFit="1" customWidth="1"/>
    <col min="1539" max="1539" width="18" bestFit="1" customWidth="1"/>
    <col min="1540" max="1540" width="10.5546875" customWidth="1"/>
    <col min="1541" max="1541" width="15.21875" bestFit="1" customWidth="1"/>
    <col min="1542" max="1542" width="17.5546875" bestFit="1" customWidth="1"/>
    <col min="1543" max="1543" width="14.77734375" bestFit="1" customWidth="1"/>
    <col min="1544" max="1544" width="16.5546875" bestFit="1" customWidth="1"/>
    <col min="1545" max="1545" width="10.21875" customWidth="1"/>
    <col min="1546" max="1546" width="6.21875" customWidth="1"/>
    <col min="1547" max="1547" width="7.21875" bestFit="1" customWidth="1"/>
    <col min="1548" max="1548" width="38.21875" bestFit="1" customWidth="1"/>
    <col min="1549" max="1549" width="19.77734375" customWidth="1"/>
    <col min="1567" max="1578" width="0" hidden="1" customWidth="1"/>
    <col min="1584" max="1584" width="22.21875" bestFit="1" customWidth="1"/>
    <col min="1600" max="1600" width="5.21875" customWidth="1"/>
    <col min="1793" max="1793" width="8.21875" bestFit="1" customWidth="1"/>
    <col min="1794" max="1794" width="48.77734375" bestFit="1" customWidth="1"/>
    <col min="1795" max="1795" width="18" bestFit="1" customWidth="1"/>
    <col min="1796" max="1796" width="10.5546875" customWidth="1"/>
    <col min="1797" max="1797" width="15.21875" bestFit="1" customWidth="1"/>
    <col min="1798" max="1798" width="17.5546875" bestFit="1" customWidth="1"/>
    <col min="1799" max="1799" width="14.77734375" bestFit="1" customWidth="1"/>
    <col min="1800" max="1800" width="16.5546875" bestFit="1" customWidth="1"/>
    <col min="1801" max="1801" width="10.21875" customWidth="1"/>
    <col min="1802" max="1802" width="6.21875" customWidth="1"/>
    <col min="1803" max="1803" width="7.21875" bestFit="1" customWidth="1"/>
    <col min="1804" max="1804" width="38.21875" bestFit="1" customWidth="1"/>
    <col min="1805" max="1805" width="19.77734375" customWidth="1"/>
    <col min="1823" max="1834" width="0" hidden="1" customWidth="1"/>
    <col min="1840" max="1840" width="22.21875" bestFit="1" customWidth="1"/>
    <col min="1856" max="1856" width="5.21875" customWidth="1"/>
    <col min="2049" max="2049" width="8.21875" bestFit="1" customWidth="1"/>
    <col min="2050" max="2050" width="48.77734375" bestFit="1" customWidth="1"/>
    <col min="2051" max="2051" width="18" bestFit="1" customWidth="1"/>
    <col min="2052" max="2052" width="10.5546875" customWidth="1"/>
    <col min="2053" max="2053" width="15.21875" bestFit="1" customWidth="1"/>
    <col min="2054" max="2054" width="17.5546875" bestFit="1" customWidth="1"/>
    <col min="2055" max="2055" width="14.77734375" bestFit="1" customWidth="1"/>
    <col min="2056" max="2056" width="16.5546875" bestFit="1" customWidth="1"/>
    <col min="2057" max="2057" width="10.21875" customWidth="1"/>
    <col min="2058" max="2058" width="6.21875" customWidth="1"/>
    <col min="2059" max="2059" width="7.21875" bestFit="1" customWidth="1"/>
    <col min="2060" max="2060" width="38.21875" bestFit="1" customWidth="1"/>
    <col min="2061" max="2061" width="19.77734375" customWidth="1"/>
    <col min="2079" max="2090" width="0" hidden="1" customWidth="1"/>
    <col min="2096" max="2096" width="22.21875" bestFit="1" customWidth="1"/>
    <col min="2112" max="2112" width="5.21875" customWidth="1"/>
    <col min="2305" max="2305" width="8.21875" bestFit="1" customWidth="1"/>
    <col min="2306" max="2306" width="48.77734375" bestFit="1" customWidth="1"/>
    <col min="2307" max="2307" width="18" bestFit="1" customWidth="1"/>
    <col min="2308" max="2308" width="10.5546875" customWidth="1"/>
    <col min="2309" max="2309" width="15.21875" bestFit="1" customWidth="1"/>
    <col min="2310" max="2310" width="17.5546875" bestFit="1" customWidth="1"/>
    <col min="2311" max="2311" width="14.77734375" bestFit="1" customWidth="1"/>
    <col min="2312" max="2312" width="16.5546875" bestFit="1" customWidth="1"/>
    <col min="2313" max="2313" width="10.21875" customWidth="1"/>
    <col min="2314" max="2314" width="6.21875" customWidth="1"/>
    <col min="2315" max="2315" width="7.21875" bestFit="1" customWidth="1"/>
    <col min="2316" max="2316" width="38.21875" bestFit="1" customWidth="1"/>
    <col min="2317" max="2317" width="19.77734375" customWidth="1"/>
    <col min="2335" max="2346" width="0" hidden="1" customWidth="1"/>
    <col min="2352" max="2352" width="22.21875" bestFit="1" customWidth="1"/>
    <col min="2368" max="2368" width="5.21875" customWidth="1"/>
    <col min="2561" max="2561" width="8.21875" bestFit="1" customWidth="1"/>
    <col min="2562" max="2562" width="48.77734375" bestFit="1" customWidth="1"/>
    <col min="2563" max="2563" width="18" bestFit="1" customWidth="1"/>
    <col min="2564" max="2564" width="10.5546875" customWidth="1"/>
    <col min="2565" max="2565" width="15.21875" bestFit="1" customWidth="1"/>
    <col min="2566" max="2566" width="17.5546875" bestFit="1" customWidth="1"/>
    <col min="2567" max="2567" width="14.77734375" bestFit="1" customWidth="1"/>
    <col min="2568" max="2568" width="16.5546875" bestFit="1" customWidth="1"/>
    <col min="2569" max="2569" width="10.21875" customWidth="1"/>
    <col min="2570" max="2570" width="6.21875" customWidth="1"/>
    <col min="2571" max="2571" width="7.21875" bestFit="1" customWidth="1"/>
    <col min="2572" max="2572" width="38.21875" bestFit="1" customWidth="1"/>
    <col min="2573" max="2573" width="19.77734375" customWidth="1"/>
    <col min="2591" max="2602" width="0" hidden="1" customWidth="1"/>
    <col min="2608" max="2608" width="22.21875" bestFit="1" customWidth="1"/>
    <col min="2624" max="2624" width="5.21875" customWidth="1"/>
    <col min="2817" max="2817" width="8.21875" bestFit="1" customWidth="1"/>
    <col min="2818" max="2818" width="48.77734375" bestFit="1" customWidth="1"/>
    <col min="2819" max="2819" width="18" bestFit="1" customWidth="1"/>
    <col min="2820" max="2820" width="10.5546875" customWidth="1"/>
    <col min="2821" max="2821" width="15.21875" bestFit="1" customWidth="1"/>
    <col min="2822" max="2822" width="17.5546875" bestFit="1" customWidth="1"/>
    <col min="2823" max="2823" width="14.77734375" bestFit="1" customWidth="1"/>
    <col min="2824" max="2824" width="16.5546875" bestFit="1" customWidth="1"/>
    <col min="2825" max="2825" width="10.21875" customWidth="1"/>
    <col min="2826" max="2826" width="6.21875" customWidth="1"/>
    <col min="2827" max="2827" width="7.21875" bestFit="1" customWidth="1"/>
    <col min="2828" max="2828" width="38.21875" bestFit="1" customWidth="1"/>
    <col min="2829" max="2829" width="19.77734375" customWidth="1"/>
    <col min="2847" max="2858" width="0" hidden="1" customWidth="1"/>
    <col min="2864" max="2864" width="22.21875" bestFit="1" customWidth="1"/>
    <col min="2880" max="2880" width="5.21875" customWidth="1"/>
    <col min="3073" max="3073" width="8.21875" bestFit="1" customWidth="1"/>
    <col min="3074" max="3074" width="48.77734375" bestFit="1" customWidth="1"/>
    <col min="3075" max="3075" width="18" bestFit="1" customWidth="1"/>
    <col min="3076" max="3076" width="10.5546875" customWidth="1"/>
    <col min="3077" max="3077" width="15.21875" bestFit="1" customWidth="1"/>
    <col min="3078" max="3078" width="17.5546875" bestFit="1" customWidth="1"/>
    <col min="3079" max="3079" width="14.77734375" bestFit="1" customWidth="1"/>
    <col min="3080" max="3080" width="16.5546875" bestFit="1" customWidth="1"/>
    <col min="3081" max="3081" width="10.21875" customWidth="1"/>
    <col min="3082" max="3082" width="6.21875" customWidth="1"/>
    <col min="3083" max="3083" width="7.21875" bestFit="1" customWidth="1"/>
    <col min="3084" max="3084" width="38.21875" bestFit="1" customWidth="1"/>
    <col min="3085" max="3085" width="19.77734375" customWidth="1"/>
    <col min="3103" max="3114" width="0" hidden="1" customWidth="1"/>
    <col min="3120" max="3120" width="22.21875" bestFit="1" customWidth="1"/>
    <col min="3136" max="3136" width="5.21875" customWidth="1"/>
    <col min="3329" max="3329" width="8.21875" bestFit="1" customWidth="1"/>
    <col min="3330" max="3330" width="48.77734375" bestFit="1" customWidth="1"/>
    <col min="3331" max="3331" width="18" bestFit="1" customWidth="1"/>
    <col min="3332" max="3332" width="10.5546875" customWidth="1"/>
    <col min="3333" max="3333" width="15.21875" bestFit="1" customWidth="1"/>
    <col min="3334" max="3334" width="17.5546875" bestFit="1" customWidth="1"/>
    <col min="3335" max="3335" width="14.77734375" bestFit="1" customWidth="1"/>
    <col min="3336" max="3336" width="16.5546875" bestFit="1" customWidth="1"/>
    <col min="3337" max="3337" width="10.21875" customWidth="1"/>
    <col min="3338" max="3338" width="6.21875" customWidth="1"/>
    <col min="3339" max="3339" width="7.21875" bestFit="1" customWidth="1"/>
    <col min="3340" max="3340" width="38.21875" bestFit="1" customWidth="1"/>
    <col min="3341" max="3341" width="19.77734375" customWidth="1"/>
    <col min="3359" max="3370" width="0" hidden="1" customWidth="1"/>
    <col min="3376" max="3376" width="22.21875" bestFit="1" customWidth="1"/>
    <col min="3392" max="3392" width="5.21875" customWidth="1"/>
    <col min="3585" max="3585" width="8.21875" bestFit="1" customWidth="1"/>
    <col min="3586" max="3586" width="48.77734375" bestFit="1" customWidth="1"/>
    <col min="3587" max="3587" width="18" bestFit="1" customWidth="1"/>
    <col min="3588" max="3588" width="10.5546875" customWidth="1"/>
    <col min="3589" max="3589" width="15.21875" bestFit="1" customWidth="1"/>
    <col min="3590" max="3590" width="17.5546875" bestFit="1" customWidth="1"/>
    <col min="3591" max="3591" width="14.77734375" bestFit="1" customWidth="1"/>
    <col min="3592" max="3592" width="16.5546875" bestFit="1" customWidth="1"/>
    <col min="3593" max="3593" width="10.21875" customWidth="1"/>
    <col min="3594" max="3594" width="6.21875" customWidth="1"/>
    <col min="3595" max="3595" width="7.21875" bestFit="1" customWidth="1"/>
    <col min="3596" max="3596" width="38.21875" bestFit="1" customWidth="1"/>
    <col min="3597" max="3597" width="19.77734375" customWidth="1"/>
    <col min="3615" max="3626" width="0" hidden="1" customWidth="1"/>
    <col min="3632" max="3632" width="22.21875" bestFit="1" customWidth="1"/>
    <col min="3648" max="3648" width="5.21875" customWidth="1"/>
    <col min="3841" max="3841" width="8.21875" bestFit="1" customWidth="1"/>
    <col min="3842" max="3842" width="48.77734375" bestFit="1" customWidth="1"/>
    <col min="3843" max="3843" width="18" bestFit="1" customWidth="1"/>
    <col min="3844" max="3844" width="10.5546875" customWidth="1"/>
    <col min="3845" max="3845" width="15.21875" bestFit="1" customWidth="1"/>
    <col min="3846" max="3846" width="17.5546875" bestFit="1" customWidth="1"/>
    <col min="3847" max="3847" width="14.77734375" bestFit="1" customWidth="1"/>
    <col min="3848" max="3848" width="16.5546875" bestFit="1" customWidth="1"/>
    <col min="3849" max="3849" width="10.21875" customWidth="1"/>
    <col min="3850" max="3850" width="6.21875" customWidth="1"/>
    <col min="3851" max="3851" width="7.21875" bestFit="1" customWidth="1"/>
    <col min="3852" max="3852" width="38.21875" bestFit="1" customWidth="1"/>
    <col min="3853" max="3853" width="19.77734375" customWidth="1"/>
    <col min="3871" max="3882" width="0" hidden="1" customWidth="1"/>
    <col min="3888" max="3888" width="22.21875" bestFit="1" customWidth="1"/>
    <col min="3904" max="3904" width="5.21875" customWidth="1"/>
    <col min="4097" max="4097" width="8.21875" bestFit="1" customWidth="1"/>
    <col min="4098" max="4098" width="48.77734375" bestFit="1" customWidth="1"/>
    <col min="4099" max="4099" width="18" bestFit="1" customWidth="1"/>
    <col min="4100" max="4100" width="10.5546875" customWidth="1"/>
    <col min="4101" max="4101" width="15.21875" bestFit="1" customWidth="1"/>
    <col min="4102" max="4102" width="17.5546875" bestFit="1" customWidth="1"/>
    <col min="4103" max="4103" width="14.77734375" bestFit="1" customWidth="1"/>
    <col min="4104" max="4104" width="16.5546875" bestFit="1" customWidth="1"/>
    <col min="4105" max="4105" width="10.21875" customWidth="1"/>
    <col min="4106" max="4106" width="6.21875" customWidth="1"/>
    <col min="4107" max="4107" width="7.21875" bestFit="1" customWidth="1"/>
    <col min="4108" max="4108" width="38.21875" bestFit="1" customWidth="1"/>
    <col min="4109" max="4109" width="19.77734375" customWidth="1"/>
    <col min="4127" max="4138" width="0" hidden="1" customWidth="1"/>
    <col min="4144" max="4144" width="22.21875" bestFit="1" customWidth="1"/>
    <col min="4160" max="4160" width="5.21875" customWidth="1"/>
    <col min="4353" max="4353" width="8.21875" bestFit="1" customWidth="1"/>
    <col min="4354" max="4354" width="48.77734375" bestFit="1" customWidth="1"/>
    <col min="4355" max="4355" width="18" bestFit="1" customWidth="1"/>
    <col min="4356" max="4356" width="10.5546875" customWidth="1"/>
    <col min="4357" max="4357" width="15.21875" bestFit="1" customWidth="1"/>
    <col min="4358" max="4358" width="17.5546875" bestFit="1" customWidth="1"/>
    <col min="4359" max="4359" width="14.77734375" bestFit="1" customWidth="1"/>
    <col min="4360" max="4360" width="16.5546875" bestFit="1" customWidth="1"/>
    <col min="4361" max="4361" width="10.21875" customWidth="1"/>
    <col min="4362" max="4362" width="6.21875" customWidth="1"/>
    <col min="4363" max="4363" width="7.21875" bestFit="1" customWidth="1"/>
    <col min="4364" max="4364" width="38.21875" bestFit="1" customWidth="1"/>
    <col min="4365" max="4365" width="19.77734375" customWidth="1"/>
    <col min="4383" max="4394" width="0" hidden="1" customWidth="1"/>
    <col min="4400" max="4400" width="22.21875" bestFit="1" customWidth="1"/>
    <col min="4416" max="4416" width="5.21875" customWidth="1"/>
    <col min="4609" max="4609" width="8.21875" bestFit="1" customWidth="1"/>
    <col min="4610" max="4610" width="48.77734375" bestFit="1" customWidth="1"/>
    <col min="4611" max="4611" width="18" bestFit="1" customWidth="1"/>
    <col min="4612" max="4612" width="10.5546875" customWidth="1"/>
    <col min="4613" max="4613" width="15.21875" bestFit="1" customWidth="1"/>
    <col min="4614" max="4614" width="17.5546875" bestFit="1" customWidth="1"/>
    <col min="4615" max="4615" width="14.77734375" bestFit="1" customWidth="1"/>
    <col min="4616" max="4616" width="16.5546875" bestFit="1" customWidth="1"/>
    <col min="4617" max="4617" width="10.21875" customWidth="1"/>
    <col min="4618" max="4618" width="6.21875" customWidth="1"/>
    <col min="4619" max="4619" width="7.21875" bestFit="1" customWidth="1"/>
    <col min="4620" max="4620" width="38.21875" bestFit="1" customWidth="1"/>
    <col min="4621" max="4621" width="19.77734375" customWidth="1"/>
    <col min="4639" max="4650" width="0" hidden="1" customWidth="1"/>
    <col min="4656" max="4656" width="22.21875" bestFit="1" customWidth="1"/>
    <col min="4672" max="4672" width="5.21875" customWidth="1"/>
    <col min="4865" max="4865" width="8.21875" bestFit="1" customWidth="1"/>
    <col min="4866" max="4866" width="48.77734375" bestFit="1" customWidth="1"/>
    <col min="4867" max="4867" width="18" bestFit="1" customWidth="1"/>
    <col min="4868" max="4868" width="10.5546875" customWidth="1"/>
    <col min="4869" max="4869" width="15.21875" bestFit="1" customWidth="1"/>
    <col min="4870" max="4870" width="17.5546875" bestFit="1" customWidth="1"/>
    <col min="4871" max="4871" width="14.77734375" bestFit="1" customWidth="1"/>
    <col min="4872" max="4872" width="16.5546875" bestFit="1" customWidth="1"/>
    <col min="4873" max="4873" width="10.21875" customWidth="1"/>
    <col min="4874" max="4874" width="6.21875" customWidth="1"/>
    <col min="4875" max="4875" width="7.21875" bestFit="1" customWidth="1"/>
    <col min="4876" max="4876" width="38.21875" bestFit="1" customWidth="1"/>
    <col min="4877" max="4877" width="19.77734375" customWidth="1"/>
    <col min="4895" max="4906" width="0" hidden="1" customWidth="1"/>
    <col min="4912" max="4912" width="22.21875" bestFit="1" customWidth="1"/>
    <col min="4928" max="4928" width="5.21875" customWidth="1"/>
    <col min="5121" max="5121" width="8.21875" bestFit="1" customWidth="1"/>
    <col min="5122" max="5122" width="48.77734375" bestFit="1" customWidth="1"/>
    <col min="5123" max="5123" width="18" bestFit="1" customWidth="1"/>
    <col min="5124" max="5124" width="10.5546875" customWidth="1"/>
    <col min="5125" max="5125" width="15.21875" bestFit="1" customWidth="1"/>
    <col min="5126" max="5126" width="17.5546875" bestFit="1" customWidth="1"/>
    <col min="5127" max="5127" width="14.77734375" bestFit="1" customWidth="1"/>
    <col min="5128" max="5128" width="16.5546875" bestFit="1" customWidth="1"/>
    <col min="5129" max="5129" width="10.21875" customWidth="1"/>
    <col min="5130" max="5130" width="6.21875" customWidth="1"/>
    <col min="5131" max="5131" width="7.21875" bestFit="1" customWidth="1"/>
    <col min="5132" max="5132" width="38.21875" bestFit="1" customWidth="1"/>
    <col min="5133" max="5133" width="19.77734375" customWidth="1"/>
    <col min="5151" max="5162" width="0" hidden="1" customWidth="1"/>
    <col min="5168" max="5168" width="22.21875" bestFit="1" customWidth="1"/>
    <col min="5184" max="5184" width="5.21875" customWidth="1"/>
    <col min="5377" max="5377" width="8.21875" bestFit="1" customWidth="1"/>
    <col min="5378" max="5378" width="48.77734375" bestFit="1" customWidth="1"/>
    <col min="5379" max="5379" width="18" bestFit="1" customWidth="1"/>
    <col min="5380" max="5380" width="10.5546875" customWidth="1"/>
    <col min="5381" max="5381" width="15.21875" bestFit="1" customWidth="1"/>
    <col min="5382" max="5382" width="17.5546875" bestFit="1" customWidth="1"/>
    <col min="5383" max="5383" width="14.77734375" bestFit="1" customWidth="1"/>
    <col min="5384" max="5384" width="16.5546875" bestFit="1" customWidth="1"/>
    <col min="5385" max="5385" width="10.21875" customWidth="1"/>
    <col min="5386" max="5386" width="6.21875" customWidth="1"/>
    <col min="5387" max="5387" width="7.21875" bestFit="1" customWidth="1"/>
    <col min="5388" max="5388" width="38.21875" bestFit="1" customWidth="1"/>
    <col min="5389" max="5389" width="19.77734375" customWidth="1"/>
    <col min="5407" max="5418" width="0" hidden="1" customWidth="1"/>
    <col min="5424" max="5424" width="22.21875" bestFit="1" customWidth="1"/>
    <col min="5440" max="5440" width="5.21875" customWidth="1"/>
    <col min="5633" max="5633" width="8.21875" bestFit="1" customWidth="1"/>
    <col min="5634" max="5634" width="48.77734375" bestFit="1" customWidth="1"/>
    <col min="5635" max="5635" width="18" bestFit="1" customWidth="1"/>
    <col min="5636" max="5636" width="10.5546875" customWidth="1"/>
    <col min="5637" max="5637" width="15.21875" bestFit="1" customWidth="1"/>
    <col min="5638" max="5638" width="17.5546875" bestFit="1" customWidth="1"/>
    <col min="5639" max="5639" width="14.77734375" bestFit="1" customWidth="1"/>
    <col min="5640" max="5640" width="16.5546875" bestFit="1" customWidth="1"/>
    <col min="5641" max="5641" width="10.21875" customWidth="1"/>
    <col min="5642" max="5642" width="6.21875" customWidth="1"/>
    <col min="5643" max="5643" width="7.21875" bestFit="1" customWidth="1"/>
    <col min="5644" max="5644" width="38.21875" bestFit="1" customWidth="1"/>
    <col min="5645" max="5645" width="19.77734375" customWidth="1"/>
    <col min="5663" max="5674" width="0" hidden="1" customWidth="1"/>
    <col min="5680" max="5680" width="22.21875" bestFit="1" customWidth="1"/>
    <col min="5696" max="5696" width="5.21875" customWidth="1"/>
    <col min="5889" max="5889" width="8.21875" bestFit="1" customWidth="1"/>
    <col min="5890" max="5890" width="48.77734375" bestFit="1" customWidth="1"/>
    <col min="5891" max="5891" width="18" bestFit="1" customWidth="1"/>
    <col min="5892" max="5892" width="10.5546875" customWidth="1"/>
    <col min="5893" max="5893" width="15.21875" bestFit="1" customWidth="1"/>
    <col min="5894" max="5894" width="17.5546875" bestFit="1" customWidth="1"/>
    <col min="5895" max="5895" width="14.77734375" bestFit="1" customWidth="1"/>
    <col min="5896" max="5896" width="16.5546875" bestFit="1" customWidth="1"/>
    <col min="5897" max="5897" width="10.21875" customWidth="1"/>
    <col min="5898" max="5898" width="6.21875" customWidth="1"/>
    <col min="5899" max="5899" width="7.21875" bestFit="1" customWidth="1"/>
    <col min="5900" max="5900" width="38.21875" bestFit="1" customWidth="1"/>
    <col min="5901" max="5901" width="19.77734375" customWidth="1"/>
    <col min="5919" max="5930" width="0" hidden="1" customWidth="1"/>
    <col min="5936" max="5936" width="22.21875" bestFit="1" customWidth="1"/>
    <col min="5952" max="5952" width="5.21875" customWidth="1"/>
    <col min="6145" max="6145" width="8.21875" bestFit="1" customWidth="1"/>
    <col min="6146" max="6146" width="48.77734375" bestFit="1" customWidth="1"/>
    <col min="6147" max="6147" width="18" bestFit="1" customWidth="1"/>
    <col min="6148" max="6148" width="10.5546875" customWidth="1"/>
    <col min="6149" max="6149" width="15.21875" bestFit="1" customWidth="1"/>
    <col min="6150" max="6150" width="17.5546875" bestFit="1" customWidth="1"/>
    <col min="6151" max="6151" width="14.77734375" bestFit="1" customWidth="1"/>
    <col min="6152" max="6152" width="16.5546875" bestFit="1" customWidth="1"/>
    <col min="6153" max="6153" width="10.21875" customWidth="1"/>
    <col min="6154" max="6154" width="6.21875" customWidth="1"/>
    <col min="6155" max="6155" width="7.21875" bestFit="1" customWidth="1"/>
    <col min="6156" max="6156" width="38.21875" bestFit="1" customWidth="1"/>
    <col min="6157" max="6157" width="19.77734375" customWidth="1"/>
    <col min="6175" max="6186" width="0" hidden="1" customWidth="1"/>
    <col min="6192" max="6192" width="22.21875" bestFit="1" customWidth="1"/>
    <col min="6208" max="6208" width="5.21875" customWidth="1"/>
    <col min="6401" max="6401" width="8.21875" bestFit="1" customWidth="1"/>
    <col min="6402" max="6402" width="48.77734375" bestFit="1" customWidth="1"/>
    <col min="6403" max="6403" width="18" bestFit="1" customWidth="1"/>
    <col min="6404" max="6404" width="10.5546875" customWidth="1"/>
    <col min="6405" max="6405" width="15.21875" bestFit="1" customWidth="1"/>
    <col min="6406" max="6406" width="17.5546875" bestFit="1" customWidth="1"/>
    <col min="6407" max="6407" width="14.77734375" bestFit="1" customWidth="1"/>
    <col min="6408" max="6408" width="16.5546875" bestFit="1" customWidth="1"/>
    <col min="6409" max="6409" width="10.21875" customWidth="1"/>
    <col min="6410" max="6410" width="6.21875" customWidth="1"/>
    <col min="6411" max="6411" width="7.21875" bestFit="1" customWidth="1"/>
    <col min="6412" max="6412" width="38.21875" bestFit="1" customWidth="1"/>
    <col min="6413" max="6413" width="19.77734375" customWidth="1"/>
    <col min="6431" max="6442" width="0" hidden="1" customWidth="1"/>
    <col min="6448" max="6448" width="22.21875" bestFit="1" customWidth="1"/>
    <col min="6464" max="6464" width="5.21875" customWidth="1"/>
    <col min="6657" max="6657" width="8.21875" bestFit="1" customWidth="1"/>
    <col min="6658" max="6658" width="48.77734375" bestFit="1" customWidth="1"/>
    <col min="6659" max="6659" width="18" bestFit="1" customWidth="1"/>
    <col min="6660" max="6660" width="10.5546875" customWidth="1"/>
    <col min="6661" max="6661" width="15.21875" bestFit="1" customWidth="1"/>
    <col min="6662" max="6662" width="17.5546875" bestFit="1" customWidth="1"/>
    <col min="6663" max="6663" width="14.77734375" bestFit="1" customWidth="1"/>
    <col min="6664" max="6664" width="16.5546875" bestFit="1" customWidth="1"/>
    <col min="6665" max="6665" width="10.21875" customWidth="1"/>
    <col min="6666" max="6666" width="6.21875" customWidth="1"/>
    <col min="6667" max="6667" width="7.21875" bestFit="1" customWidth="1"/>
    <col min="6668" max="6668" width="38.21875" bestFit="1" customWidth="1"/>
    <col min="6669" max="6669" width="19.77734375" customWidth="1"/>
    <col min="6687" max="6698" width="0" hidden="1" customWidth="1"/>
    <col min="6704" max="6704" width="22.21875" bestFit="1" customWidth="1"/>
    <col min="6720" max="6720" width="5.21875" customWidth="1"/>
    <col min="6913" max="6913" width="8.21875" bestFit="1" customWidth="1"/>
    <col min="6914" max="6914" width="48.77734375" bestFit="1" customWidth="1"/>
    <col min="6915" max="6915" width="18" bestFit="1" customWidth="1"/>
    <col min="6916" max="6916" width="10.5546875" customWidth="1"/>
    <col min="6917" max="6917" width="15.21875" bestFit="1" customWidth="1"/>
    <col min="6918" max="6918" width="17.5546875" bestFit="1" customWidth="1"/>
    <col min="6919" max="6919" width="14.77734375" bestFit="1" customWidth="1"/>
    <col min="6920" max="6920" width="16.5546875" bestFit="1" customWidth="1"/>
    <col min="6921" max="6921" width="10.21875" customWidth="1"/>
    <col min="6922" max="6922" width="6.21875" customWidth="1"/>
    <col min="6923" max="6923" width="7.21875" bestFit="1" customWidth="1"/>
    <col min="6924" max="6924" width="38.21875" bestFit="1" customWidth="1"/>
    <col min="6925" max="6925" width="19.77734375" customWidth="1"/>
    <col min="6943" max="6954" width="0" hidden="1" customWidth="1"/>
    <col min="6960" max="6960" width="22.21875" bestFit="1" customWidth="1"/>
    <col min="6976" max="6976" width="5.21875" customWidth="1"/>
    <col min="7169" max="7169" width="8.21875" bestFit="1" customWidth="1"/>
    <col min="7170" max="7170" width="48.77734375" bestFit="1" customWidth="1"/>
    <col min="7171" max="7171" width="18" bestFit="1" customWidth="1"/>
    <col min="7172" max="7172" width="10.5546875" customWidth="1"/>
    <col min="7173" max="7173" width="15.21875" bestFit="1" customWidth="1"/>
    <col min="7174" max="7174" width="17.5546875" bestFit="1" customWidth="1"/>
    <col min="7175" max="7175" width="14.77734375" bestFit="1" customWidth="1"/>
    <col min="7176" max="7176" width="16.5546875" bestFit="1" customWidth="1"/>
    <col min="7177" max="7177" width="10.21875" customWidth="1"/>
    <col min="7178" max="7178" width="6.21875" customWidth="1"/>
    <col min="7179" max="7179" width="7.21875" bestFit="1" customWidth="1"/>
    <col min="7180" max="7180" width="38.21875" bestFit="1" customWidth="1"/>
    <col min="7181" max="7181" width="19.77734375" customWidth="1"/>
    <col min="7199" max="7210" width="0" hidden="1" customWidth="1"/>
    <col min="7216" max="7216" width="22.21875" bestFit="1" customWidth="1"/>
    <col min="7232" max="7232" width="5.21875" customWidth="1"/>
    <col min="7425" max="7425" width="8.21875" bestFit="1" customWidth="1"/>
    <col min="7426" max="7426" width="48.77734375" bestFit="1" customWidth="1"/>
    <col min="7427" max="7427" width="18" bestFit="1" customWidth="1"/>
    <col min="7428" max="7428" width="10.5546875" customWidth="1"/>
    <col min="7429" max="7429" width="15.21875" bestFit="1" customWidth="1"/>
    <col min="7430" max="7430" width="17.5546875" bestFit="1" customWidth="1"/>
    <col min="7431" max="7431" width="14.77734375" bestFit="1" customWidth="1"/>
    <col min="7432" max="7432" width="16.5546875" bestFit="1" customWidth="1"/>
    <col min="7433" max="7433" width="10.21875" customWidth="1"/>
    <col min="7434" max="7434" width="6.21875" customWidth="1"/>
    <col min="7435" max="7435" width="7.21875" bestFit="1" customWidth="1"/>
    <col min="7436" max="7436" width="38.21875" bestFit="1" customWidth="1"/>
    <col min="7437" max="7437" width="19.77734375" customWidth="1"/>
    <col min="7455" max="7466" width="0" hidden="1" customWidth="1"/>
    <col min="7472" max="7472" width="22.21875" bestFit="1" customWidth="1"/>
    <col min="7488" max="7488" width="5.21875" customWidth="1"/>
    <col min="7681" max="7681" width="8.21875" bestFit="1" customWidth="1"/>
    <col min="7682" max="7682" width="48.77734375" bestFit="1" customWidth="1"/>
    <col min="7683" max="7683" width="18" bestFit="1" customWidth="1"/>
    <col min="7684" max="7684" width="10.5546875" customWidth="1"/>
    <col min="7685" max="7685" width="15.21875" bestFit="1" customWidth="1"/>
    <col min="7686" max="7686" width="17.5546875" bestFit="1" customWidth="1"/>
    <col min="7687" max="7687" width="14.77734375" bestFit="1" customWidth="1"/>
    <col min="7688" max="7688" width="16.5546875" bestFit="1" customWidth="1"/>
    <col min="7689" max="7689" width="10.21875" customWidth="1"/>
    <col min="7690" max="7690" width="6.21875" customWidth="1"/>
    <col min="7691" max="7691" width="7.21875" bestFit="1" customWidth="1"/>
    <col min="7692" max="7692" width="38.21875" bestFit="1" customWidth="1"/>
    <col min="7693" max="7693" width="19.77734375" customWidth="1"/>
    <col min="7711" max="7722" width="0" hidden="1" customWidth="1"/>
    <col min="7728" max="7728" width="22.21875" bestFit="1" customWidth="1"/>
    <col min="7744" max="7744" width="5.21875" customWidth="1"/>
    <col min="7937" max="7937" width="8.21875" bestFit="1" customWidth="1"/>
    <col min="7938" max="7938" width="48.77734375" bestFit="1" customWidth="1"/>
    <col min="7939" max="7939" width="18" bestFit="1" customWidth="1"/>
    <col min="7940" max="7940" width="10.5546875" customWidth="1"/>
    <col min="7941" max="7941" width="15.21875" bestFit="1" customWidth="1"/>
    <col min="7942" max="7942" width="17.5546875" bestFit="1" customWidth="1"/>
    <col min="7943" max="7943" width="14.77734375" bestFit="1" customWidth="1"/>
    <col min="7944" max="7944" width="16.5546875" bestFit="1" customWidth="1"/>
    <col min="7945" max="7945" width="10.21875" customWidth="1"/>
    <col min="7946" max="7946" width="6.21875" customWidth="1"/>
    <col min="7947" max="7947" width="7.21875" bestFit="1" customWidth="1"/>
    <col min="7948" max="7948" width="38.21875" bestFit="1" customWidth="1"/>
    <col min="7949" max="7949" width="19.77734375" customWidth="1"/>
    <col min="7967" max="7978" width="0" hidden="1" customWidth="1"/>
    <col min="7984" max="7984" width="22.21875" bestFit="1" customWidth="1"/>
    <col min="8000" max="8000" width="5.21875" customWidth="1"/>
    <col min="8193" max="8193" width="8.21875" bestFit="1" customWidth="1"/>
    <col min="8194" max="8194" width="48.77734375" bestFit="1" customWidth="1"/>
    <col min="8195" max="8195" width="18" bestFit="1" customWidth="1"/>
    <col min="8196" max="8196" width="10.5546875" customWidth="1"/>
    <col min="8197" max="8197" width="15.21875" bestFit="1" customWidth="1"/>
    <col min="8198" max="8198" width="17.5546875" bestFit="1" customWidth="1"/>
    <col min="8199" max="8199" width="14.77734375" bestFit="1" customWidth="1"/>
    <col min="8200" max="8200" width="16.5546875" bestFit="1" customWidth="1"/>
    <col min="8201" max="8201" width="10.21875" customWidth="1"/>
    <col min="8202" max="8202" width="6.21875" customWidth="1"/>
    <col min="8203" max="8203" width="7.21875" bestFit="1" customWidth="1"/>
    <col min="8204" max="8204" width="38.21875" bestFit="1" customWidth="1"/>
    <col min="8205" max="8205" width="19.77734375" customWidth="1"/>
    <col min="8223" max="8234" width="0" hidden="1" customWidth="1"/>
    <col min="8240" max="8240" width="22.21875" bestFit="1" customWidth="1"/>
    <col min="8256" max="8256" width="5.21875" customWidth="1"/>
    <col min="8449" max="8449" width="8.21875" bestFit="1" customWidth="1"/>
    <col min="8450" max="8450" width="48.77734375" bestFit="1" customWidth="1"/>
    <col min="8451" max="8451" width="18" bestFit="1" customWidth="1"/>
    <col min="8452" max="8452" width="10.5546875" customWidth="1"/>
    <col min="8453" max="8453" width="15.21875" bestFit="1" customWidth="1"/>
    <col min="8454" max="8454" width="17.5546875" bestFit="1" customWidth="1"/>
    <col min="8455" max="8455" width="14.77734375" bestFit="1" customWidth="1"/>
    <col min="8456" max="8456" width="16.5546875" bestFit="1" customWidth="1"/>
    <col min="8457" max="8457" width="10.21875" customWidth="1"/>
    <col min="8458" max="8458" width="6.21875" customWidth="1"/>
    <col min="8459" max="8459" width="7.21875" bestFit="1" customWidth="1"/>
    <col min="8460" max="8460" width="38.21875" bestFit="1" customWidth="1"/>
    <col min="8461" max="8461" width="19.77734375" customWidth="1"/>
    <col min="8479" max="8490" width="0" hidden="1" customWidth="1"/>
    <col min="8496" max="8496" width="22.21875" bestFit="1" customWidth="1"/>
    <col min="8512" max="8512" width="5.21875" customWidth="1"/>
    <col min="8705" max="8705" width="8.21875" bestFit="1" customWidth="1"/>
    <col min="8706" max="8706" width="48.77734375" bestFit="1" customWidth="1"/>
    <col min="8707" max="8707" width="18" bestFit="1" customWidth="1"/>
    <col min="8708" max="8708" width="10.5546875" customWidth="1"/>
    <col min="8709" max="8709" width="15.21875" bestFit="1" customWidth="1"/>
    <col min="8710" max="8710" width="17.5546875" bestFit="1" customWidth="1"/>
    <col min="8711" max="8711" width="14.77734375" bestFit="1" customWidth="1"/>
    <col min="8712" max="8712" width="16.5546875" bestFit="1" customWidth="1"/>
    <col min="8713" max="8713" width="10.21875" customWidth="1"/>
    <col min="8714" max="8714" width="6.21875" customWidth="1"/>
    <col min="8715" max="8715" width="7.21875" bestFit="1" customWidth="1"/>
    <col min="8716" max="8716" width="38.21875" bestFit="1" customWidth="1"/>
    <col min="8717" max="8717" width="19.77734375" customWidth="1"/>
    <col min="8735" max="8746" width="0" hidden="1" customWidth="1"/>
    <col min="8752" max="8752" width="22.21875" bestFit="1" customWidth="1"/>
    <col min="8768" max="8768" width="5.21875" customWidth="1"/>
    <col min="8961" max="8961" width="8.21875" bestFit="1" customWidth="1"/>
    <col min="8962" max="8962" width="48.77734375" bestFit="1" customWidth="1"/>
    <col min="8963" max="8963" width="18" bestFit="1" customWidth="1"/>
    <col min="8964" max="8964" width="10.5546875" customWidth="1"/>
    <col min="8965" max="8965" width="15.21875" bestFit="1" customWidth="1"/>
    <col min="8966" max="8966" width="17.5546875" bestFit="1" customWidth="1"/>
    <col min="8967" max="8967" width="14.77734375" bestFit="1" customWidth="1"/>
    <col min="8968" max="8968" width="16.5546875" bestFit="1" customWidth="1"/>
    <col min="8969" max="8969" width="10.21875" customWidth="1"/>
    <col min="8970" max="8970" width="6.21875" customWidth="1"/>
    <col min="8971" max="8971" width="7.21875" bestFit="1" customWidth="1"/>
    <col min="8972" max="8972" width="38.21875" bestFit="1" customWidth="1"/>
    <col min="8973" max="8973" width="19.77734375" customWidth="1"/>
    <col min="8991" max="9002" width="0" hidden="1" customWidth="1"/>
    <col min="9008" max="9008" width="22.21875" bestFit="1" customWidth="1"/>
    <col min="9024" max="9024" width="5.21875" customWidth="1"/>
    <col min="9217" max="9217" width="8.21875" bestFit="1" customWidth="1"/>
    <col min="9218" max="9218" width="48.77734375" bestFit="1" customWidth="1"/>
    <col min="9219" max="9219" width="18" bestFit="1" customWidth="1"/>
    <col min="9220" max="9220" width="10.5546875" customWidth="1"/>
    <col min="9221" max="9221" width="15.21875" bestFit="1" customWidth="1"/>
    <col min="9222" max="9222" width="17.5546875" bestFit="1" customWidth="1"/>
    <col min="9223" max="9223" width="14.77734375" bestFit="1" customWidth="1"/>
    <col min="9224" max="9224" width="16.5546875" bestFit="1" customWidth="1"/>
    <col min="9225" max="9225" width="10.21875" customWidth="1"/>
    <col min="9226" max="9226" width="6.21875" customWidth="1"/>
    <col min="9227" max="9227" width="7.21875" bestFit="1" customWidth="1"/>
    <col min="9228" max="9228" width="38.21875" bestFit="1" customWidth="1"/>
    <col min="9229" max="9229" width="19.77734375" customWidth="1"/>
    <col min="9247" max="9258" width="0" hidden="1" customWidth="1"/>
    <col min="9264" max="9264" width="22.21875" bestFit="1" customWidth="1"/>
    <col min="9280" max="9280" width="5.21875" customWidth="1"/>
    <col min="9473" max="9473" width="8.21875" bestFit="1" customWidth="1"/>
    <col min="9474" max="9474" width="48.77734375" bestFit="1" customWidth="1"/>
    <col min="9475" max="9475" width="18" bestFit="1" customWidth="1"/>
    <col min="9476" max="9476" width="10.5546875" customWidth="1"/>
    <col min="9477" max="9477" width="15.21875" bestFit="1" customWidth="1"/>
    <col min="9478" max="9478" width="17.5546875" bestFit="1" customWidth="1"/>
    <col min="9479" max="9479" width="14.77734375" bestFit="1" customWidth="1"/>
    <col min="9480" max="9480" width="16.5546875" bestFit="1" customWidth="1"/>
    <col min="9481" max="9481" width="10.21875" customWidth="1"/>
    <col min="9482" max="9482" width="6.21875" customWidth="1"/>
    <col min="9483" max="9483" width="7.21875" bestFit="1" customWidth="1"/>
    <col min="9484" max="9484" width="38.21875" bestFit="1" customWidth="1"/>
    <col min="9485" max="9485" width="19.77734375" customWidth="1"/>
    <col min="9503" max="9514" width="0" hidden="1" customWidth="1"/>
    <col min="9520" max="9520" width="22.21875" bestFit="1" customWidth="1"/>
    <col min="9536" max="9536" width="5.21875" customWidth="1"/>
    <col min="9729" max="9729" width="8.21875" bestFit="1" customWidth="1"/>
    <col min="9730" max="9730" width="48.77734375" bestFit="1" customWidth="1"/>
    <col min="9731" max="9731" width="18" bestFit="1" customWidth="1"/>
    <col min="9732" max="9732" width="10.5546875" customWidth="1"/>
    <col min="9733" max="9733" width="15.21875" bestFit="1" customWidth="1"/>
    <col min="9734" max="9734" width="17.5546875" bestFit="1" customWidth="1"/>
    <col min="9735" max="9735" width="14.77734375" bestFit="1" customWidth="1"/>
    <col min="9736" max="9736" width="16.5546875" bestFit="1" customWidth="1"/>
    <col min="9737" max="9737" width="10.21875" customWidth="1"/>
    <col min="9738" max="9738" width="6.21875" customWidth="1"/>
    <col min="9739" max="9739" width="7.21875" bestFit="1" customWidth="1"/>
    <col min="9740" max="9740" width="38.21875" bestFit="1" customWidth="1"/>
    <col min="9741" max="9741" width="19.77734375" customWidth="1"/>
    <col min="9759" max="9770" width="0" hidden="1" customWidth="1"/>
    <col min="9776" max="9776" width="22.21875" bestFit="1" customWidth="1"/>
    <col min="9792" max="9792" width="5.21875" customWidth="1"/>
    <col min="9985" max="9985" width="8.21875" bestFit="1" customWidth="1"/>
    <col min="9986" max="9986" width="48.77734375" bestFit="1" customWidth="1"/>
    <col min="9987" max="9987" width="18" bestFit="1" customWidth="1"/>
    <col min="9988" max="9988" width="10.5546875" customWidth="1"/>
    <col min="9989" max="9989" width="15.21875" bestFit="1" customWidth="1"/>
    <col min="9990" max="9990" width="17.5546875" bestFit="1" customWidth="1"/>
    <col min="9991" max="9991" width="14.77734375" bestFit="1" customWidth="1"/>
    <col min="9992" max="9992" width="16.5546875" bestFit="1" customWidth="1"/>
    <col min="9993" max="9993" width="10.21875" customWidth="1"/>
    <col min="9994" max="9994" width="6.21875" customWidth="1"/>
    <col min="9995" max="9995" width="7.21875" bestFit="1" customWidth="1"/>
    <col min="9996" max="9996" width="38.21875" bestFit="1" customWidth="1"/>
    <col min="9997" max="9997" width="19.77734375" customWidth="1"/>
    <col min="10015" max="10026" width="0" hidden="1" customWidth="1"/>
    <col min="10032" max="10032" width="22.21875" bestFit="1" customWidth="1"/>
    <col min="10048" max="10048" width="5.21875" customWidth="1"/>
    <col min="10241" max="10241" width="8.21875" bestFit="1" customWidth="1"/>
    <col min="10242" max="10242" width="48.77734375" bestFit="1" customWidth="1"/>
    <col min="10243" max="10243" width="18" bestFit="1" customWidth="1"/>
    <col min="10244" max="10244" width="10.5546875" customWidth="1"/>
    <col min="10245" max="10245" width="15.21875" bestFit="1" customWidth="1"/>
    <col min="10246" max="10246" width="17.5546875" bestFit="1" customWidth="1"/>
    <col min="10247" max="10247" width="14.77734375" bestFit="1" customWidth="1"/>
    <col min="10248" max="10248" width="16.5546875" bestFit="1" customWidth="1"/>
    <col min="10249" max="10249" width="10.21875" customWidth="1"/>
    <col min="10250" max="10250" width="6.21875" customWidth="1"/>
    <col min="10251" max="10251" width="7.21875" bestFit="1" customWidth="1"/>
    <col min="10252" max="10252" width="38.21875" bestFit="1" customWidth="1"/>
    <col min="10253" max="10253" width="19.77734375" customWidth="1"/>
    <col min="10271" max="10282" width="0" hidden="1" customWidth="1"/>
    <col min="10288" max="10288" width="22.21875" bestFit="1" customWidth="1"/>
    <col min="10304" max="10304" width="5.21875" customWidth="1"/>
    <col min="10497" max="10497" width="8.21875" bestFit="1" customWidth="1"/>
    <col min="10498" max="10498" width="48.77734375" bestFit="1" customWidth="1"/>
    <col min="10499" max="10499" width="18" bestFit="1" customWidth="1"/>
    <col min="10500" max="10500" width="10.5546875" customWidth="1"/>
    <col min="10501" max="10501" width="15.21875" bestFit="1" customWidth="1"/>
    <col min="10502" max="10502" width="17.5546875" bestFit="1" customWidth="1"/>
    <col min="10503" max="10503" width="14.77734375" bestFit="1" customWidth="1"/>
    <col min="10504" max="10504" width="16.5546875" bestFit="1" customWidth="1"/>
    <col min="10505" max="10505" width="10.21875" customWidth="1"/>
    <col min="10506" max="10506" width="6.21875" customWidth="1"/>
    <col min="10507" max="10507" width="7.21875" bestFit="1" customWidth="1"/>
    <col min="10508" max="10508" width="38.21875" bestFit="1" customWidth="1"/>
    <col min="10509" max="10509" width="19.77734375" customWidth="1"/>
    <col min="10527" max="10538" width="0" hidden="1" customWidth="1"/>
    <col min="10544" max="10544" width="22.21875" bestFit="1" customWidth="1"/>
    <col min="10560" max="10560" width="5.21875" customWidth="1"/>
    <col min="10753" max="10753" width="8.21875" bestFit="1" customWidth="1"/>
    <col min="10754" max="10754" width="48.77734375" bestFit="1" customWidth="1"/>
    <col min="10755" max="10755" width="18" bestFit="1" customWidth="1"/>
    <col min="10756" max="10756" width="10.5546875" customWidth="1"/>
    <col min="10757" max="10757" width="15.21875" bestFit="1" customWidth="1"/>
    <col min="10758" max="10758" width="17.5546875" bestFit="1" customWidth="1"/>
    <col min="10759" max="10759" width="14.77734375" bestFit="1" customWidth="1"/>
    <col min="10760" max="10760" width="16.5546875" bestFit="1" customWidth="1"/>
    <col min="10761" max="10761" width="10.21875" customWidth="1"/>
    <col min="10762" max="10762" width="6.21875" customWidth="1"/>
    <col min="10763" max="10763" width="7.21875" bestFit="1" customWidth="1"/>
    <col min="10764" max="10764" width="38.21875" bestFit="1" customWidth="1"/>
    <col min="10765" max="10765" width="19.77734375" customWidth="1"/>
    <col min="10783" max="10794" width="0" hidden="1" customWidth="1"/>
    <col min="10800" max="10800" width="22.21875" bestFit="1" customWidth="1"/>
    <col min="10816" max="10816" width="5.21875" customWidth="1"/>
    <col min="11009" max="11009" width="8.21875" bestFit="1" customWidth="1"/>
    <col min="11010" max="11010" width="48.77734375" bestFit="1" customWidth="1"/>
    <col min="11011" max="11011" width="18" bestFit="1" customWidth="1"/>
    <col min="11012" max="11012" width="10.5546875" customWidth="1"/>
    <col min="11013" max="11013" width="15.21875" bestFit="1" customWidth="1"/>
    <col min="11014" max="11014" width="17.5546875" bestFit="1" customWidth="1"/>
    <col min="11015" max="11015" width="14.77734375" bestFit="1" customWidth="1"/>
    <col min="11016" max="11016" width="16.5546875" bestFit="1" customWidth="1"/>
    <col min="11017" max="11017" width="10.21875" customWidth="1"/>
    <col min="11018" max="11018" width="6.21875" customWidth="1"/>
    <col min="11019" max="11019" width="7.21875" bestFit="1" customWidth="1"/>
    <col min="11020" max="11020" width="38.21875" bestFit="1" customWidth="1"/>
    <col min="11021" max="11021" width="19.77734375" customWidth="1"/>
    <col min="11039" max="11050" width="0" hidden="1" customWidth="1"/>
    <col min="11056" max="11056" width="22.21875" bestFit="1" customWidth="1"/>
    <col min="11072" max="11072" width="5.21875" customWidth="1"/>
    <col min="11265" max="11265" width="8.21875" bestFit="1" customWidth="1"/>
    <col min="11266" max="11266" width="48.77734375" bestFit="1" customWidth="1"/>
    <col min="11267" max="11267" width="18" bestFit="1" customWidth="1"/>
    <col min="11268" max="11268" width="10.5546875" customWidth="1"/>
    <col min="11269" max="11269" width="15.21875" bestFit="1" customWidth="1"/>
    <col min="11270" max="11270" width="17.5546875" bestFit="1" customWidth="1"/>
    <col min="11271" max="11271" width="14.77734375" bestFit="1" customWidth="1"/>
    <col min="11272" max="11272" width="16.5546875" bestFit="1" customWidth="1"/>
    <col min="11273" max="11273" width="10.21875" customWidth="1"/>
    <col min="11274" max="11274" width="6.21875" customWidth="1"/>
    <col min="11275" max="11275" width="7.21875" bestFit="1" customWidth="1"/>
    <col min="11276" max="11276" width="38.21875" bestFit="1" customWidth="1"/>
    <col min="11277" max="11277" width="19.77734375" customWidth="1"/>
    <col min="11295" max="11306" width="0" hidden="1" customWidth="1"/>
    <col min="11312" max="11312" width="22.21875" bestFit="1" customWidth="1"/>
    <col min="11328" max="11328" width="5.21875" customWidth="1"/>
    <col min="11521" max="11521" width="8.21875" bestFit="1" customWidth="1"/>
    <col min="11522" max="11522" width="48.77734375" bestFit="1" customWidth="1"/>
    <col min="11523" max="11523" width="18" bestFit="1" customWidth="1"/>
    <col min="11524" max="11524" width="10.5546875" customWidth="1"/>
    <col min="11525" max="11525" width="15.21875" bestFit="1" customWidth="1"/>
    <col min="11526" max="11526" width="17.5546875" bestFit="1" customWidth="1"/>
    <col min="11527" max="11527" width="14.77734375" bestFit="1" customWidth="1"/>
    <col min="11528" max="11528" width="16.5546875" bestFit="1" customWidth="1"/>
    <col min="11529" max="11529" width="10.21875" customWidth="1"/>
    <col min="11530" max="11530" width="6.21875" customWidth="1"/>
    <col min="11531" max="11531" width="7.21875" bestFit="1" customWidth="1"/>
    <col min="11532" max="11532" width="38.21875" bestFit="1" customWidth="1"/>
    <col min="11533" max="11533" width="19.77734375" customWidth="1"/>
    <col min="11551" max="11562" width="0" hidden="1" customWidth="1"/>
    <col min="11568" max="11568" width="22.21875" bestFit="1" customWidth="1"/>
    <col min="11584" max="11584" width="5.21875" customWidth="1"/>
    <col min="11777" max="11777" width="8.21875" bestFit="1" customWidth="1"/>
    <col min="11778" max="11778" width="48.77734375" bestFit="1" customWidth="1"/>
    <col min="11779" max="11779" width="18" bestFit="1" customWidth="1"/>
    <col min="11780" max="11780" width="10.5546875" customWidth="1"/>
    <col min="11781" max="11781" width="15.21875" bestFit="1" customWidth="1"/>
    <col min="11782" max="11782" width="17.5546875" bestFit="1" customWidth="1"/>
    <col min="11783" max="11783" width="14.77734375" bestFit="1" customWidth="1"/>
    <col min="11784" max="11784" width="16.5546875" bestFit="1" customWidth="1"/>
    <col min="11785" max="11785" width="10.21875" customWidth="1"/>
    <col min="11786" max="11786" width="6.21875" customWidth="1"/>
    <col min="11787" max="11787" width="7.21875" bestFit="1" customWidth="1"/>
    <col min="11788" max="11788" width="38.21875" bestFit="1" customWidth="1"/>
    <col min="11789" max="11789" width="19.77734375" customWidth="1"/>
    <col min="11807" max="11818" width="0" hidden="1" customWidth="1"/>
    <col min="11824" max="11824" width="22.21875" bestFit="1" customWidth="1"/>
    <col min="11840" max="11840" width="5.21875" customWidth="1"/>
    <col min="12033" max="12033" width="8.21875" bestFit="1" customWidth="1"/>
    <col min="12034" max="12034" width="48.77734375" bestFit="1" customWidth="1"/>
    <col min="12035" max="12035" width="18" bestFit="1" customWidth="1"/>
    <col min="12036" max="12036" width="10.5546875" customWidth="1"/>
    <col min="12037" max="12037" width="15.21875" bestFit="1" customWidth="1"/>
    <col min="12038" max="12038" width="17.5546875" bestFit="1" customWidth="1"/>
    <col min="12039" max="12039" width="14.77734375" bestFit="1" customWidth="1"/>
    <col min="12040" max="12040" width="16.5546875" bestFit="1" customWidth="1"/>
    <col min="12041" max="12041" width="10.21875" customWidth="1"/>
    <col min="12042" max="12042" width="6.21875" customWidth="1"/>
    <col min="12043" max="12043" width="7.21875" bestFit="1" customWidth="1"/>
    <col min="12044" max="12044" width="38.21875" bestFit="1" customWidth="1"/>
    <col min="12045" max="12045" width="19.77734375" customWidth="1"/>
    <col min="12063" max="12074" width="0" hidden="1" customWidth="1"/>
    <col min="12080" max="12080" width="22.21875" bestFit="1" customWidth="1"/>
    <col min="12096" max="12096" width="5.21875" customWidth="1"/>
    <col min="12289" max="12289" width="8.21875" bestFit="1" customWidth="1"/>
    <col min="12290" max="12290" width="48.77734375" bestFit="1" customWidth="1"/>
    <col min="12291" max="12291" width="18" bestFit="1" customWidth="1"/>
    <col min="12292" max="12292" width="10.5546875" customWidth="1"/>
    <col min="12293" max="12293" width="15.21875" bestFit="1" customWidth="1"/>
    <col min="12294" max="12294" width="17.5546875" bestFit="1" customWidth="1"/>
    <col min="12295" max="12295" width="14.77734375" bestFit="1" customWidth="1"/>
    <col min="12296" max="12296" width="16.5546875" bestFit="1" customWidth="1"/>
    <col min="12297" max="12297" width="10.21875" customWidth="1"/>
    <col min="12298" max="12298" width="6.21875" customWidth="1"/>
    <col min="12299" max="12299" width="7.21875" bestFit="1" customWidth="1"/>
    <col min="12300" max="12300" width="38.21875" bestFit="1" customWidth="1"/>
    <col min="12301" max="12301" width="19.77734375" customWidth="1"/>
    <col min="12319" max="12330" width="0" hidden="1" customWidth="1"/>
    <col min="12336" max="12336" width="22.21875" bestFit="1" customWidth="1"/>
    <col min="12352" max="12352" width="5.21875" customWidth="1"/>
    <col min="12545" max="12545" width="8.21875" bestFit="1" customWidth="1"/>
    <col min="12546" max="12546" width="48.77734375" bestFit="1" customWidth="1"/>
    <col min="12547" max="12547" width="18" bestFit="1" customWidth="1"/>
    <col min="12548" max="12548" width="10.5546875" customWidth="1"/>
    <col min="12549" max="12549" width="15.21875" bestFit="1" customWidth="1"/>
    <col min="12550" max="12550" width="17.5546875" bestFit="1" customWidth="1"/>
    <col min="12551" max="12551" width="14.77734375" bestFit="1" customWidth="1"/>
    <col min="12552" max="12552" width="16.5546875" bestFit="1" customWidth="1"/>
    <col min="12553" max="12553" width="10.21875" customWidth="1"/>
    <col min="12554" max="12554" width="6.21875" customWidth="1"/>
    <col min="12555" max="12555" width="7.21875" bestFit="1" customWidth="1"/>
    <col min="12556" max="12556" width="38.21875" bestFit="1" customWidth="1"/>
    <col min="12557" max="12557" width="19.77734375" customWidth="1"/>
    <col min="12575" max="12586" width="0" hidden="1" customWidth="1"/>
    <col min="12592" max="12592" width="22.21875" bestFit="1" customWidth="1"/>
    <col min="12608" max="12608" width="5.21875" customWidth="1"/>
    <col min="12801" max="12801" width="8.21875" bestFit="1" customWidth="1"/>
    <col min="12802" max="12802" width="48.77734375" bestFit="1" customWidth="1"/>
    <col min="12803" max="12803" width="18" bestFit="1" customWidth="1"/>
    <col min="12804" max="12804" width="10.5546875" customWidth="1"/>
    <col min="12805" max="12805" width="15.21875" bestFit="1" customWidth="1"/>
    <col min="12806" max="12806" width="17.5546875" bestFit="1" customWidth="1"/>
    <col min="12807" max="12807" width="14.77734375" bestFit="1" customWidth="1"/>
    <col min="12808" max="12808" width="16.5546875" bestFit="1" customWidth="1"/>
    <col min="12809" max="12809" width="10.21875" customWidth="1"/>
    <col min="12810" max="12810" width="6.21875" customWidth="1"/>
    <col min="12811" max="12811" width="7.21875" bestFit="1" customWidth="1"/>
    <col min="12812" max="12812" width="38.21875" bestFit="1" customWidth="1"/>
    <col min="12813" max="12813" width="19.77734375" customWidth="1"/>
    <col min="12831" max="12842" width="0" hidden="1" customWidth="1"/>
    <col min="12848" max="12848" width="22.21875" bestFit="1" customWidth="1"/>
    <col min="12864" max="12864" width="5.21875" customWidth="1"/>
    <col min="13057" max="13057" width="8.21875" bestFit="1" customWidth="1"/>
    <col min="13058" max="13058" width="48.77734375" bestFit="1" customWidth="1"/>
    <col min="13059" max="13059" width="18" bestFit="1" customWidth="1"/>
    <col min="13060" max="13060" width="10.5546875" customWidth="1"/>
    <col min="13061" max="13061" width="15.21875" bestFit="1" customWidth="1"/>
    <col min="13062" max="13062" width="17.5546875" bestFit="1" customWidth="1"/>
    <col min="13063" max="13063" width="14.77734375" bestFit="1" customWidth="1"/>
    <col min="13064" max="13064" width="16.5546875" bestFit="1" customWidth="1"/>
    <col min="13065" max="13065" width="10.21875" customWidth="1"/>
    <col min="13066" max="13066" width="6.21875" customWidth="1"/>
    <col min="13067" max="13067" width="7.21875" bestFit="1" customWidth="1"/>
    <col min="13068" max="13068" width="38.21875" bestFit="1" customWidth="1"/>
    <col min="13069" max="13069" width="19.77734375" customWidth="1"/>
    <col min="13087" max="13098" width="0" hidden="1" customWidth="1"/>
    <col min="13104" max="13104" width="22.21875" bestFit="1" customWidth="1"/>
    <col min="13120" max="13120" width="5.21875" customWidth="1"/>
    <col min="13313" max="13313" width="8.21875" bestFit="1" customWidth="1"/>
    <col min="13314" max="13314" width="48.77734375" bestFit="1" customWidth="1"/>
    <col min="13315" max="13315" width="18" bestFit="1" customWidth="1"/>
    <col min="13316" max="13316" width="10.5546875" customWidth="1"/>
    <col min="13317" max="13317" width="15.21875" bestFit="1" customWidth="1"/>
    <col min="13318" max="13318" width="17.5546875" bestFit="1" customWidth="1"/>
    <col min="13319" max="13319" width="14.77734375" bestFit="1" customWidth="1"/>
    <col min="13320" max="13320" width="16.5546875" bestFit="1" customWidth="1"/>
    <col min="13321" max="13321" width="10.21875" customWidth="1"/>
    <col min="13322" max="13322" width="6.21875" customWidth="1"/>
    <col min="13323" max="13323" width="7.21875" bestFit="1" customWidth="1"/>
    <col min="13324" max="13324" width="38.21875" bestFit="1" customWidth="1"/>
    <col min="13325" max="13325" width="19.77734375" customWidth="1"/>
    <col min="13343" max="13354" width="0" hidden="1" customWidth="1"/>
    <col min="13360" max="13360" width="22.21875" bestFit="1" customWidth="1"/>
    <col min="13376" max="13376" width="5.21875" customWidth="1"/>
    <col min="13569" max="13569" width="8.21875" bestFit="1" customWidth="1"/>
    <col min="13570" max="13570" width="48.77734375" bestFit="1" customWidth="1"/>
    <col min="13571" max="13571" width="18" bestFit="1" customWidth="1"/>
    <col min="13572" max="13572" width="10.5546875" customWidth="1"/>
    <col min="13573" max="13573" width="15.21875" bestFit="1" customWidth="1"/>
    <col min="13574" max="13574" width="17.5546875" bestFit="1" customWidth="1"/>
    <col min="13575" max="13575" width="14.77734375" bestFit="1" customWidth="1"/>
    <col min="13576" max="13576" width="16.5546875" bestFit="1" customWidth="1"/>
    <col min="13577" max="13577" width="10.21875" customWidth="1"/>
    <col min="13578" max="13578" width="6.21875" customWidth="1"/>
    <col min="13579" max="13579" width="7.21875" bestFit="1" customWidth="1"/>
    <col min="13580" max="13580" width="38.21875" bestFit="1" customWidth="1"/>
    <col min="13581" max="13581" width="19.77734375" customWidth="1"/>
    <col min="13599" max="13610" width="0" hidden="1" customWidth="1"/>
    <col min="13616" max="13616" width="22.21875" bestFit="1" customWidth="1"/>
    <col min="13632" max="13632" width="5.21875" customWidth="1"/>
    <col min="13825" max="13825" width="8.21875" bestFit="1" customWidth="1"/>
    <col min="13826" max="13826" width="48.77734375" bestFit="1" customWidth="1"/>
    <col min="13827" max="13827" width="18" bestFit="1" customWidth="1"/>
    <col min="13828" max="13828" width="10.5546875" customWidth="1"/>
    <col min="13829" max="13829" width="15.21875" bestFit="1" customWidth="1"/>
    <col min="13830" max="13830" width="17.5546875" bestFit="1" customWidth="1"/>
    <col min="13831" max="13831" width="14.77734375" bestFit="1" customWidth="1"/>
    <col min="13832" max="13832" width="16.5546875" bestFit="1" customWidth="1"/>
    <col min="13833" max="13833" width="10.21875" customWidth="1"/>
    <col min="13834" max="13834" width="6.21875" customWidth="1"/>
    <col min="13835" max="13835" width="7.21875" bestFit="1" customWidth="1"/>
    <col min="13836" max="13836" width="38.21875" bestFit="1" customWidth="1"/>
    <col min="13837" max="13837" width="19.77734375" customWidth="1"/>
    <col min="13855" max="13866" width="0" hidden="1" customWidth="1"/>
    <col min="13872" max="13872" width="22.21875" bestFit="1" customWidth="1"/>
    <col min="13888" max="13888" width="5.21875" customWidth="1"/>
    <col min="14081" max="14081" width="8.21875" bestFit="1" customWidth="1"/>
    <col min="14082" max="14082" width="48.77734375" bestFit="1" customWidth="1"/>
    <col min="14083" max="14083" width="18" bestFit="1" customWidth="1"/>
    <col min="14084" max="14084" width="10.5546875" customWidth="1"/>
    <col min="14085" max="14085" width="15.21875" bestFit="1" customWidth="1"/>
    <col min="14086" max="14086" width="17.5546875" bestFit="1" customWidth="1"/>
    <col min="14087" max="14087" width="14.77734375" bestFit="1" customWidth="1"/>
    <col min="14088" max="14088" width="16.5546875" bestFit="1" customWidth="1"/>
    <col min="14089" max="14089" width="10.21875" customWidth="1"/>
    <col min="14090" max="14090" width="6.21875" customWidth="1"/>
    <col min="14091" max="14091" width="7.21875" bestFit="1" customWidth="1"/>
    <col min="14092" max="14092" width="38.21875" bestFit="1" customWidth="1"/>
    <col min="14093" max="14093" width="19.77734375" customWidth="1"/>
    <col min="14111" max="14122" width="0" hidden="1" customWidth="1"/>
    <col min="14128" max="14128" width="22.21875" bestFit="1" customWidth="1"/>
    <col min="14144" max="14144" width="5.21875" customWidth="1"/>
    <col min="14337" max="14337" width="8.21875" bestFit="1" customWidth="1"/>
    <col min="14338" max="14338" width="48.77734375" bestFit="1" customWidth="1"/>
    <col min="14339" max="14339" width="18" bestFit="1" customWidth="1"/>
    <col min="14340" max="14340" width="10.5546875" customWidth="1"/>
    <col min="14341" max="14341" width="15.21875" bestFit="1" customWidth="1"/>
    <col min="14342" max="14342" width="17.5546875" bestFit="1" customWidth="1"/>
    <col min="14343" max="14343" width="14.77734375" bestFit="1" customWidth="1"/>
    <col min="14344" max="14344" width="16.5546875" bestFit="1" customWidth="1"/>
    <col min="14345" max="14345" width="10.21875" customWidth="1"/>
    <col min="14346" max="14346" width="6.21875" customWidth="1"/>
    <col min="14347" max="14347" width="7.21875" bestFit="1" customWidth="1"/>
    <col min="14348" max="14348" width="38.21875" bestFit="1" customWidth="1"/>
    <col min="14349" max="14349" width="19.77734375" customWidth="1"/>
    <col min="14367" max="14378" width="0" hidden="1" customWidth="1"/>
    <col min="14384" max="14384" width="22.21875" bestFit="1" customWidth="1"/>
    <col min="14400" max="14400" width="5.21875" customWidth="1"/>
    <col min="14593" max="14593" width="8.21875" bestFit="1" customWidth="1"/>
    <col min="14594" max="14594" width="48.77734375" bestFit="1" customWidth="1"/>
    <col min="14595" max="14595" width="18" bestFit="1" customWidth="1"/>
    <col min="14596" max="14596" width="10.5546875" customWidth="1"/>
    <col min="14597" max="14597" width="15.21875" bestFit="1" customWidth="1"/>
    <col min="14598" max="14598" width="17.5546875" bestFit="1" customWidth="1"/>
    <col min="14599" max="14599" width="14.77734375" bestFit="1" customWidth="1"/>
    <col min="14600" max="14600" width="16.5546875" bestFit="1" customWidth="1"/>
    <col min="14601" max="14601" width="10.21875" customWidth="1"/>
    <col min="14602" max="14602" width="6.21875" customWidth="1"/>
    <col min="14603" max="14603" width="7.21875" bestFit="1" customWidth="1"/>
    <col min="14604" max="14604" width="38.21875" bestFit="1" customWidth="1"/>
    <col min="14605" max="14605" width="19.77734375" customWidth="1"/>
    <col min="14623" max="14634" width="0" hidden="1" customWidth="1"/>
    <col min="14640" max="14640" width="22.21875" bestFit="1" customWidth="1"/>
    <col min="14656" max="14656" width="5.21875" customWidth="1"/>
    <col min="14849" max="14849" width="8.21875" bestFit="1" customWidth="1"/>
    <col min="14850" max="14850" width="48.77734375" bestFit="1" customWidth="1"/>
    <col min="14851" max="14851" width="18" bestFit="1" customWidth="1"/>
    <col min="14852" max="14852" width="10.5546875" customWidth="1"/>
    <col min="14853" max="14853" width="15.21875" bestFit="1" customWidth="1"/>
    <col min="14854" max="14854" width="17.5546875" bestFit="1" customWidth="1"/>
    <col min="14855" max="14855" width="14.77734375" bestFit="1" customWidth="1"/>
    <col min="14856" max="14856" width="16.5546875" bestFit="1" customWidth="1"/>
    <col min="14857" max="14857" width="10.21875" customWidth="1"/>
    <col min="14858" max="14858" width="6.21875" customWidth="1"/>
    <col min="14859" max="14859" width="7.21875" bestFit="1" customWidth="1"/>
    <col min="14860" max="14860" width="38.21875" bestFit="1" customWidth="1"/>
    <col min="14861" max="14861" width="19.77734375" customWidth="1"/>
    <col min="14879" max="14890" width="0" hidden="1" customWidth="1"/>
    <col min="14896" max="14896" width="22.21875" bestFit="1" customWidth="1"/>
    <col min="14912" max="14912" width="5.21875" customWidth="1"/>
    <col min="15105" max="15105" width="8.21875" bestFit="1" customWidth="1"/>
    <col min="15106" max="15106" width="48.77734375" bestFit="1" customWidth="1"/>
    <col min="15107" max="15107" width="18" bestFit="1" customWidth="1"/>
    <col min="15108" max="15108" width="10.5546875" customWidth="1"/>
    <col min="15109" max="15109" width="15.21875" bestFit="1" customWidth="1"/>
    <col min="15110" max="15110" width="17.5546875" bestFit="1" customWidth="1"/>
    <col min="15111" max="15111" width="14.77734375" bestFit="1" customWidth="1"/>
    <col min="15112" max="15112" width="16.5546875" bestFit="1" customWidth="1"/>
    <col min="15113" max="15113" width="10.21875" customWidth="1"/>
    <col min="15114" max="15114" width="6.21875" customWidth="1"/>
    <col min="15115" max="15115" width="7.21875" bestFit="1" customWidth="1"/>
    <col min="15116" max="15116" width="38.21875" bestFit="1" customWidth="1"/>
    <col min="15117" max="15117" width="19.77734375" customWidth="1"/>
    <col min="15135" max="15146" width="0" hidden="1" customWidth="1"/>
    <col min="15152" max="15152" width="22.21875" bestFit="1" customWidth="1"/>
    <col min="15168" max="15168" width="5.21875" customWidth="1"/>
    <col min="15361" max="15361" width="8.21875" bestFit="1" customWidth="1"/>
    <col min="15362" max="15362" width="48.77734375" bestFit="1" customWidth="1"/>
    <col min="15363" max="15363" width="18" bestFit="1" customWidth="1"/>
    <col min="15364" max="15364" width="10.5546875" customWidth="1"/>
    <col min="15365" max="15365" width="15.21875" bestFit="1" customWidth="1"/>
    <col min="15366" max="15366" width="17.5546875" bestFit="1" customWidth="1"/>
    <col min="15367" max="15367" width="14.77734375" bestFit="1" customWidth="1"/>
    <col min="15368" max="15368" width="16.5546875" bestFit="1" customWidth="1"/>
    <col min="15369" max="15369" width="10.21875" customWidth="1"/>
    <col min="15370" max="15370" width="6.21875" customWidth="1"/>
    <col min="15371" max="15371" width="7.21875" bestFit="1" customWidth="1"/>
    <col min="15372" max="15372" width="38.21875" bestFit="1" customWidth="1"/>
    <col min="15373" max="15373" width="19.77734375" customWidth="1"/>
    <col min="15391" max="15402" width="0" hidden="1" customWidth="1"/>
    <col min="15408" max="15408" width="22.21875" bestFit="1" customWidth="1"/>
    <col min="15424" max="15424" width="5.21875" customWidth="1"/>
    <col min="15617" max="15617" width="8.21875" bestFit="1" customWidth="1"/>
    <col min="15618" max="15618" width="48.77734375" bestFit="1" customWidth="1"/>
    <col min="15619" max="15619" width="18" bestFit="1" customWidth="1"/>
    <col min="15620" max="15620" width="10.5546875" customWidth="1"/>
    <col min="15621" max="15621" width="15.21875" bestFit="1" customWidth="1"/>
    <col min="15622" max="15622" width="17.5546875" bestFit="1" customWidth="1"/>
    <col min="15623" max="15623" width="14.77734375" bestFit="1" customWidth="1"/>
    <col min="15624" max="15624" width="16.5546875" bestFit="1" customWidth="1"/>
    <col min="15625" max="15625" width="10.21875" customWidth="1"/>
    <col min="15626" max="15626" width="6.21875" customWidth="1"/>
    <col min="15627" max="15627" width="7.21875" bestFit="1" customWidth="1"/>
    <col min="15628" max="15628" width="38.21875" bestFit="1" customWidth="1"/>
    <col min="15629" max="15629" width="19.77734375" customWidth="1"/>
    <col min="15647" max="15658" width="0" hidden="1" customWidth="1"/>
    <col min="15664" max="15664" width="22.21875" bestFit="1" customWidth="1"/>
    <col min="15680" max="15680" width="5.21875" customWidth="1"/>
    <col min="15873" max="15873" width="8.21875" bestFit="1" customWidth="1"/>
    <col min="15874" max="15874" width="48.77734375" bestFit="1" customWidth="1"/>
    <col min="15875" max="15875" width="18" bestFit="1" customWidth="1"/>
    <col min="15876" max="15876" width="10.5546875" customWidth="1"/>
    <col min="15877" max="15877" width="15.21875" bestFit="1" customWidth="1"/>
    <col min="15878" max="15878" width="17.5546875" bestFit="1" customWidth="1"/>
    <col min="15879" max="15879" width="14.77734375" bestFit="1" customWidth="1"/>
    <col min="15880" max="15880" width="16.5546875" bestFit="1" customWidth="1"/>
    <col min="15881" max="15881" width="10.21875" customWidth="1"/>
    <col min="15882" max="15882" width="6.21875" customWidth="1"/>
    <col min="15883" max="15883" width="7.21875" bestFit="1" customWidth="1"/>
    <col min="15884" max="15884" width="38.21875" bestFit="1" customWidth="1"/>
    <col min="15885" max="15885" width="19.77734375" customWidth="1"/>
    <col min="15903" max="15914" width="0" hidden="1" customWidth="1"/>
    <col min="15920" max="15920" width="22.21875" bestFit="1" customWidth="1"/>
    <col min="15936" max="15936" width="5.21875" customWidth="1"/>
    <col min="16129" max="16129" width="8.21875" bestFit="1" customWidth="1"/>
    <col min="16130" max="16130" width="48.77734375" bestFit="1" customWidth="1"/>
    <col min="16131" max="16131" width="18" bestFit="1" customWidth="1"/>
    <col min="16132" max="16132" width="10.5546875" customWidth="1"/>
    <col min="16133" max="16133" width="15.21875" bestFit="1" customWidth="1"/>
    <col min="16134" max="16134" width="17.5546875" bestFit="1" customWidth="1"/>
    <col min="16135" max="16135" width="14.77734375" bestFit="1" customWidth="1"/>
    <col min="16136" max="16136" width="16.5546875" bestFit="1" customWidth="1"/>
    <col min="16137" max="16137" width="10.21875" customWidth="1"/>
    <col min="16138" max="16138" width="6.21875" customWidth="1"/>
    <col min="16139" max="16139" width="7.21875" bestFit="1" customWidth="1"/>
    <col min="16140" max="16140" width="38.21875" bestFit="1" customWidth="1"/>
    <col min="16141" max="16141" width="19.77734375" customWidth="1"/>
    <col min="16159" max="16170" width="0" hidden="1" customWidth="1"/>
    <col min="16176" max="16176" width="22.21875" bestFit="1" customWidth="1"/>
    <col min="16192" max="16192" width="5.21875" customWidth="1"/>
  </cols>
  <sheetData>
    <row r="1" spans="1:65" ht="11.25" customHeight="1" thickBot="1" x14ac:dyDescent="0.45">
      <c r="C1" s="4"/>
      <c r="D1" s="5"/>
      <c r="E1" s="6"/>
      <c r="F1" s="7"/>
      <c r="G1" s="7"/>
      <c r="H1" s="8"/>
      <c r="I1" s="9"/>
      <c r="L1" s="173" t="s">
        <v>0</v>
      </c>
      <c r="M1" s="174"/>
      <c r="BL1" s="11"/>
      <c r="BM1" s="12"/>
    </row>
    <row r="2" spans="1:65" ht="16.5" customHeight="1" thickBot="1" x14ac:dyDescent="0.35">
      <c r="B2" s="175" t="s">
        <v>1</v>
      </c>
      <c r="C2" s="178" t="s">
        <v>2</v>
      </c>
      <c r="D2" s="179"/>
      <c r="E2" s="179"/>
      <c r="F2" s="179"/>
      <c r="G2" s="179"/>
      <c r="H2" s="180"/>
      <c r="I2" s="13"/>
      <c r="L2" s="14" t="s">
        <v>112</v>
      </c>
      <c r="M2" s="15">
        <v>0.22</v>
      </c>
      <c r="BL2" s="16"/>
    </row>
    <row r="3" spans="1:65" ht="15.75" customHeight="1" thickBot="1" x14ac:dyDescent="0.35">
      <c r="B3" s="176"/>
      <c r="C3" s="17" t="s">
        <v>3</v>
      </c>
      <c r="D3" s="18">
        <v>0.06</v>
      </c>
      <c r="E3" s="19"/>
      <c r="F3" s="20" t="s">
        <v>4</v>
      </c>
      <c r="G3" s="21" t="s">
        <v>5</v>
      </c>
      <c r="H3" s="21" t="s">
        <v>6</v>
      </c>
      <c r="I3" s="13"/>
      <c r="L3" s="22" t="s">
        <v>110</v>
      </c>
      <c r="M3" s="151">
        <v>0.05</v>
      </c>
      <c r="BL3" s="16"/>
    </row>
    <row r="4" spans="1:65" ht="17.25" customHeight="1" thickBot="1" x14ac:dyDescent="0.35">
      <c r="B4" s="176"/>
      <c r="C4" s="181" t="s">
        <v>7</v>
      </c>
      <c r="D4" s="182"/>
      <c r="E4" s="183"/>
      <c r="F4" s="23">
        <f>SUM(G18)</f>
        <v>15264663.560000001</v>
      </c>
      <c r="G4" s="24">
        <f>F4/12</f>
        <v>1272055.2966666666</v>
      </c>
      <c r="H4" s="24">
        <f>F4/52</f>
        <v>293551.22230769234</v>
      </c>
      <c r="I4" s="13"/>
      <c r="L4" s="124" t="s">
        <v>111</v>
      </c>
      <c r="M4" s="152">
        <v>0.02</v>
      </c>
      <c r="BL4" s="16"/>
    </row>
    <row r="5" spans="1:65" ht="17.25" customHeight="1" thickBot="1" x14ac:dyDescent="0.35">
      <c r="B5" s="176"/>
      <c r="C5" s="184" t="s">
        <v>8</v>
      </c>
      <c r="D5" s="185"/>
      <c r="E5" s="186"/>
      <c r="F5" s="23">
        <f>SUM(G39)</f>
        <v>12888123.34</v>
      </c>
      <c r="G5" s="25">
        <f>F5/12</f>
        <v>1074010.2783333333</v>
      </c>
      <c r="H5" s="25">
        <f>F5/52</f>
        <v>247848.52576923076</v>
      </c>
      <c r="I5" s="13"/>
      <c r="L5" s="26" t="s">
        <v>9</v>
      </c>
      <c r="M5" s="15">
        <v>0.03</v>
      </c>
      <c r="BL5" s="16"/>
    </row>
    <row r="6" spans="1:65" ht="17.25" customHeight="1" thickBot="1" x14ac:dyDescent="0.35">
      <c r="B6" s="176"/>
      <c r="C6" s="187" t="s">
        <v>10</v>
      </c>
      <c r="D6" s="188"/>
      <c r="E6" s="189"/>
      <c r="F6" s="23">
        <f>SUM(G82)</f>
        <v>1945838.9699999993</v>
      </c>
      <c r="G6" s="25">
        <f>F6/12</f>
        <v>162153.24749999994</v>
      </c>
      <c r="H6" s="25">
        <f>F6/52</f>
        <v>37419.980192307681</v>
      </c>
      <c r="I6" s="13"/>
      <c r="L6" s="124" t="s">
        <v>114</v>
      </c>
      <c r="M6" s="153">
        <v>0.05</v>
      </c>
      <c r="BL6" s="16"/>
    </row>
    <row r="7" spans="1:65" ht="17.25" customHeight="1" thickBot="1" x14ac:dyDescent="0.35">
      <c r="B7" s="176"/>
      <c r="C7" s="184" t="s">
        <v>11</v>
      </c>
      <c r="D7" s="185"/>
      <c r="E7" s="186"/>
      <c r="F7" s="23">
        <f>G82/H40</f>
        <v>12498243.021103559</v>
      </c>
      <c r="G7" s="25">
        <f>F7/12</f>
        <v>1041520.2517586299</v>
      </c>
      <c r="H7" s="25">
        <f>F7/52</f>
        <v>240350.8273289146</v>
      </c>
      <c r="I7" s="13"/>
      <c r="L7" s="27" t="s">
        <v>12</v>
      </c>
      <c r="M7" s="151">
        <v>1</v>
      </c>
      <c r="BL7" s="16"/>
    </row>
    <row r="8" spans="1:65" ht="17.25" customHeight="1" thickBot="1" x14ac:dyDescent="0.35">
      <c r="B8" s="177"/>
      <c r="C8" s="190" t="s">
        <v>13</v>
      </c>
      <c r="D8" s="191"/>
      <c r="E8" s="192"/>
      <c r="F8" s="23">
        <f>(F7/F4)*256</f>
        <v>209.60502672241739</v>
      </c>
      <c r="G8" s="28">
        <f>F8/12</f>
        <v>17.467085560201451</v>
      </c>
      <c r="H8" s="28">
        <f>F8/52</f>
        <v>4.0308658985080266</v>
      </c>
      <c r="I8" s="13"/>
      <c r="L8" s="29"/>
      <c r="BL8" s="16"/>
    </row>
    <row r="9" spans="1:65" ht="16.2" hidden="1" thickBot="1" x14ac:dyDescent="0.35">
      <c r="A9" s="30">
        <v>39813</v>
      </c>
      <c r="B9" s="31" t="s">
        <v>14</v>
      </c>
      <c r="F9" s="23">
        <f t="shared" ref="F9" si="0">SUM(G23)</f>
        <v>53952.43</v>
      </c>
      <c r="I9" s="13"/>
      <c r="L9" s="29"/>
      <c r="BL9" s="16"/>
    </row>
    <row r="10" spans="1:65" ht="16.2" thickBot="1" x14ac:dyDescent="0.35">
      <c r="B10" s="31"/>
      <c r="I10" s="13"/>
      <c r="L10" s="29"/>
      <c r="BL10" s="16"/>
    </row>
    <row r="11" spans="1:65" ht="16.2" thickBot="1" x14ac:dyDescent="0.35">
      <c r="A11" s="34"/>
      <c r="B11" s="35" t="s">
        <v>15</v>
      </c>
      <c r="C11" s="36">
        <v>12</v>
      </c>
      <c r="D11" s="9"/>
      <c r="E11" s="37"/>
      <c r="F11" s="37"/>
      <c r="G11" s="37"/>
      <c r="I11" s="13"/>
      <c r="BL11" s="16"/>
    </row>
    <row r="12" spans="1:65" ht="16.2" thickBot="1" x14ac:dyDescent="0.35">
      <c r="A12" s="39"/>
      <c r="B12" s="39"/>
      <c r="C12" s="36" t="s">
        <v>16</v>
      </c>
      <c r="D12" s="40" t="s">
        <v>17</v>
      </c>
      <c r="E12" s="41" t="s">
        <v>5</v>
      </c>
      <c r="F12" s="42" t="s">
        <v>18</v>
      </c>
      <c r="G12" s="42" t="s">
        <v>113</v>
      </c>
      <c r="H12" s="40" t="s">
        <v>19</v>
      </c>
      <c r="I12" s="10"/>
      <c r="J12"/>
      <c r="K12" s="38"/>
      <c r="L12"/>
      <c r="BK12" s="16"/>
      <c r="BL12"/>
    </row>
    <row r="13" spans="1:65" ht="16.2" thickBot="1" x14ac:dyDescent="0.35">
      <c r="A13" s="43"/>
      <c r="B13" s="44" t="s">
        <v>20</v>
      </c>
      <c r="C13" s="45"/>
      <c r="D13" s="46" t="s">
        <v>21</v>
      </c>
      <c r="E13" s="47" t="s">
        <v>22</v>
      </c>
      <c r="F13" s="48" t="s">
        <v>23</v>
      </c>
      <c r="G13" s="48" t="s">
        <v>24</v>
      </c>
      <c r="H13" s="49"/>
      <c r="I13" s="10"/>
      <c r="J13"/>
      <c r="K13" s="50"/>
      <c r="L13" s="50"/>
      <c r="BK13" s="16"/>
      <c r="BL13"/>
    </row>
    <row r="14" spans="1:65" x14ac:dyDescent="0.3">
      <c r="A14" s="51" t="s">
        <v>25</v>
      </c>
      <c r="B14" s="52" t="s">
        <v>26</v>
      </c>
      <c r="C14" s="53">
        <v>9340605</v>
      </c>
      <c r="D14" s="54">
        <f>SUM(C14/C18)</f>
        <v>0.64862492783299841</v>
      </c>
      <c r="E14" s="55">
        <f>ROUND(C14/$C$11,2)</f>
        <v>778383.75</v>
      </c>
      <c r="F14" s="109">
        <f>C14*growth</f>
        <v>560436.29999999993</v>
      </c>
      <c r="G14" s="109">
        <f>C14+F14</f>
        <v>9901041.3000000007</v>
      </c>
      <c r="H14" s="127">
        <f>IF($G$18&gt;0,G14/$G$18,0)</f>
        <v>0.64862492783299841</v>
      </c>
      <c r="I14" s="10"/>
      <c r="J14"/>
      <c r="K14" s="50"/>
      <c r="L14" s="50"/>
      <c r="BK14" s="16"/>
      <c r="BL14"/>
    </row>
    <row r="15" spans="1:65" x14ac:dyDescent="0.3">
      <c r="A15" s="51" t="s">
        <v>25</v>
      </c>
      <c r="B15" s="57" t="s">
        <v>27</v>
      </c>
      <c r="C15" s="53">
        <v>2600802</v>
      </c>
      <c r="D15" s="54">
        <f>SUM(C15/C18)</f>
        <v>0.18060339876891462</v>
      </c>
      <c r="E15" s="55">
        <f>ROUND(C15/$C$11,2)</f>
        <v>216733.5</v>
      </c>
      <c r="F15" s="112">
        <f>C15*growth</f>
        <v>156048.12</v>
      </c>
      <c r="G15" s="112">
        <f t="shared" ref="G15:G18" si="1">C15+F15</f>
        <v>2756850.12</v>
      </c>
      <c r="H15" s="128">
        <f>IF($G$18&gt;0,G15/$G$18,0)</f>
        <v>0.18060339876891462</v>
      </c>
      <c r="I15" s="10"/>
      <c r="J15"/>
      <c r="K15" s="50"/>
      <c r="L15" s="50"/>
      <c r="BK15" s="16"/>
      <c r="BL15"/>
    </row>
    <row r="16" spans="1:65" x14ac:dyDescent="0.3">
      <c r="A16" s="51" t="s">
        <v>25</v>
      </c>
      <c r="B16" s="57" t="s">
        <v>28</v>
      </c>
      <c r="C16" s="53">
        <v>2112185</v>
      </c>
      <c r="D16" s="54">
        <f>SUM(C16/C18)</f>
        <v>0.14667313768165355</v>
      </c>
      <c r="E16" s="55">
        <f>ROUND(C16/$C$11,2)</f>
        <v>176015.42</v>
      </c>
      <c r="F16" s="112">
        <f>C16*growth</f>
        <v>126731.09999999999</v>
      </c>
      <c r="G16" s="112">
        <f t="shared" si="1"/>
        <v>2238916.1</v>
      </c>
      <c r="H16" s="128">
        <f>IF($G$18&gt;0,G16/$G$18,0)</f>
        <v>0.14667313768165358</v>
      </c>
      <c r="I16" s="10"/>
      <c r="J16"/>
      <c r="K16" s="50"/>
      <c r="L16" s="50"/>
      <c r="BK16" s="16"/>
      <c r="BL16"/>
    </row>
    <row r="17" spans="1:64" ht="16.2" thickBot="1" x14ac:dyDescent="0.35">
      <c r="A17" s="51" t="s">
        <v>25</v>
      </c>
      <c r="B17" s="57" t="s">
        <v>29</v>
      </c>
      <c r="C17" s="58">
        <v>347034</v>
      </c>
      <c r="D17" s="54">
        <f>SUM(C17/$C$18)</f>
        <v>2.4098535716433438E-2</v>
      </c>
      <c r="E17" s="55">
        <f>ROUND(C17/$C$11,2)</f>
        <v>28919.5</v>
      </c>
      <c r="F17" s="117">
        <f>C17*growth</f>
        <v>20822.04</v>
      </c>
      <c r="G17" s="117">
        <f t="shared" si="1"/>
        <v>367856.04</v>
      </c>
      <c r="H17" s="129">
        <f>IF($G$18&gt;0,G17/$G$18,0)</f>
        <v>2.4098535716433438E-2</v>
      </c>
      <c r="I17" s="10"/>
      <c r="J17"/>
      <c r="K17" s="50"/>
      <c r="L17" s="50"/>
      <c r="BK17" s="16"/>
      <c r="BL17"/>
    </row>
    <row r="18" spans="1:64" ht="16.2" thickBot="1" x14ac:dyDescent="0.35">
      <c r="A18" s="31"/>
      <c r="B18" s="59" t="s">
        <v>30</v>
      </c>
      <c r="C18" s="60">
        <f>SUM(C14:C17)</f>
        <v>14400626</v>
      </c>
      <c r="D18" s="61">
        <f>SUM(C18/$C$18)</f>
        <v>1</v>
      </c>
      <c r="E18" s="62">
        <f>SUM(E14:E17)</f>
        <v>1200052.17</v>
      </c>
      <c r="F18" s="126">
        <f>C18*growth</f>
        <v>864037.55999999994</v>
      </c>
      <c r="G18" s="125">
        <f t="shared" si="1"/>
        <v>15264663.560000001</v>
      </c>
      <c r="H18" s="61">
        <f>IF($G$18&gt;0,G18/$G$18,0)</f>
        <v>1</v>
      </c>
      <c r="I18" s="10"/>
      <c r="J18"/>
      <c r="K18" s="50"/>
      <c r="L18" s="50"/>
      <c r="BK18" s="16"/>
      <c r="BL18"/>
    </row>
    <row r="19" spans="1:64" ht="16.2" thickBot="1" x14ac:dyDescent="0.35">
      <c r="A19" s="31"/>
      <c r="B19" s="63"/>
      <c r="C19" s="64"/>
      <c r="D19" s="65"/>
      <c r="E19" s="66"/>
      <c r="F19" s="62"/>
      <c r="G19" s="66"/>
      <c r="H19" s="64"/>
      <c r="I19" s="67"/>
      <c r="J19"/>
      <c r="K19" s="50"/>
      <c r="L19" s="50"/>
      <c r="BK19" s="16"/>
      <c r="BL19"/>
    </row>
    <row r="20" spans="1:64" ht="16.2" thickBot="1" x14ac:dyDescent="0.35">
      <c r="A20" s="43"/>
      <c r="B20" s="68" t="s">
        <v>31</v>
      </c>
      <c r="C20" s="69"/>
      <c r="D20" s="70"/>
      <c r="E20" s="71"/>
      <c r="F20" s="71"/>
      <c r="G20" s="71"/>
      <c r="H20" s="69"/>
      <c r="I20" s="67"/>
      <c r="J20"/>
      <c r="K20" s="50"/>
      <c r="L20" s="50"/>
      <c r="BK20" s="16"/>
      <c r="BL20"/>
    </row>
    <row r="21" spans="1:64" ht="15" thickBot="1" x14ac:dyDescent="0.35">
      <c r="A21" s="72" t="s">
        <v>32</v>
      </c>
      <c r="B21" s="73" t="s">
        <v>33</v>
      </c>
      <c r="C21" s="74">
        <v>252734</v>
      </c>
      <c r="D21" s="54">
        <f>SUM(C21/$C$18)</f>
        <v>1.7550209275624545E-2</v>
      </c>
      <c r="E21" s="55">
        <f>ROUND(C21/$C$11,2)</f>
        <v>21061.17</v>
      </c>
      <c r="F21" s="109">
        <f>SUM(C21*M$5)</f>
        <v>7582.0199999999995</v>
      </c>
      <c r="G21" s="109">
        <f>C21+F21</f>
        <v>260316.02</v>
      </c>
      <c r="H21" s="75">
        <f>IF($G$18&gt;0,G21/$G$18,0)</f>
        <v>1.7053505239521961E-2</v>
      </c>
      <c r="I21" s="76"/>
      <c r="J21"/>
      <c r="K21" s="50"/>
      <c r="L21" s="50"/>
      <c r="BK21" s="16"/>
      <c r="BL21"/>
    </row>
    <row r="22" spans="1:64" ht="15" thickBot="1" x14ac:dyDescent="0.35">
      <c r="A22" s="72" t="s">
        <v>32</v>
      </c>
      <c r="B22" s="77" t="s">
        <v>34</v>
      </c>
      <c r="C22" s="3">
        <v>44006</v>
      </c>
      <c r="D22" s="54">
        <f>SUM(C22/$C$18)</f>
        <v>3.0558393780937025E-3</v>
      </c>
      <c r="E22" s="55">
        <f>ROUND(C22/$C$11,2)</f>
        <v>3667.17</v>
      </c>
      <c r="F22" s="109">
        <f t="shared" ref="F22:F28" si="2">SUM(C22*M$5)</f>
        <v>1320.18</v>
      </c>
      <c r="G22" s="112">
        <f t="shared" ref="G22:G38" si="3">C22+F22</f>
        <v>45326.18</v>
      </c>
      <c r="H22" s="75">
        <f t="shared" ref="H22:H38" si="4">IF($G$18&gt;0,G22/$G$18,0)</f>
        <v>2.9693533579589746E-3</v>
      </c>
      <c r="I22" s="76"/>
      <c r="J22"/>
      <c r="K22" s="50"/>
      <c r="L22" s="50"/>
      <c r="BK22" s="16"/>
      <c r="BL22"/>
    </row>
    <row r="23" spans="1:64" ht="15" thickBot="1" x14ac:dyDescent="0.35">
      <c r="A23" s="72" t="s">
        <v>32</v>
      </c>
      <c r="B23" s="77" t="s">
        <v>35</v>
      </c>
      <c r="C23" s="3">
        <v>52381</v>
      </c>
      <c r="D23" s="54">
        <f>SUM(C23/$C$18)</f>
        <v>3.6374113180913108E-3</v>
      </c>
      <c r="E23" s="55">
        <f>ROUND(C23/$C$11,2)</f>
        <v>4365.08</v>
      </c>
      <c r="F23" s="109">
        <f t="shared" si="2"/>
        <v>1571.4299999999998</v>
      </c>
      <c r="G23" s="112">
        <f t="shared" si="3"/>
        <v>53952.43</v>
      </c>
      <c r="H23" s="75">
        <f t="shared" si="4"/>
        <v>3.5344657147491037E-3</v>
      </c>
      <c r="I23" s="76"/>
      <c r="J23"/>
      <c r="K23" s="78"/>
      <c r="L23" s="50"/>
      <c r="BK23" s="16"/>
      <c r="BL23"/>
    </row>
    <row r="24" spans="1:64" ht="15" thickBot="1" x14ac:dyDescent="0.35">
      <c r="A24" s="72" t="s">
        <v>32</v>
      </c>
      <c r="B24" s="77" t="s">
        <v>36</v>
      </c>
      <c r="C24" s="3">
        <v>201053</v>
      </c>
      <c r="D24" s="54">
        <f>SUM(C24/$C$18)</f>
        <v>1.3961406955503184E-2</v>
      </c>
      <c r="E24" s="55">
        <f>ROUND(C24/$C$11,2)</f>
        <v>16754.419999999998</v>
      </c>
      <c r="F24" s="109">
        <f t="shared" si="2"/>
        <v>6031.59</v>
      </c>
      <c r="G24" s="112">
        <f t="shared" si="3"/>
        <v>207084.59</v>
      </c>
      <c r="H24" s="75">
        <f t="shared" si="4"/>
        <v>1.3566272796385169E-2</v>
      </c>
      <c r="I24" s="76"/>
      <c r="J24"/>
      <c r="K24" s="78"/>
      <c r="L24" s="50"/>
      <c r="BK24" s="16"/>
      <c r="BL24"/>
    </row>
    <row r="25" spans="1:64" ht="15" thickBot="1" x14ac:dyDescent="0.35">
      <c r="A25" s="72" t="s">
        <v>32</v>
      </c>
      <c r="B25" s="77" t="s">
        <v>37</v>
      </c>
      <c r="C25" s="3">
        <v>97355</v>
      </c>
      <c r="D25" s="54">
        <f>SUM(C25/$C$18)</f>
        <v>6.7604699962348861E-3</v>
      </c>
      <c r="E25" s="55">
        <f>ROUND(C25/$C$11,2)</f>
        <v>8112.92</v>
      </c>
      <c r="F25" s="109">
        <f t="shared" si="2"/>
        <v>2920.65</v>
      </c>
      <c r="G25" s="112">
        <f t="shared" si="3"/>
        <v>100275.65</v>
      </c>
      <c r="H25" s="75">
        <f t="shared" si="4"/>
        <v>6.5691359397376716E-3</v>
      </c>
      <c r="I25" s="76"/>
      <c r="J25"/>
      <c r="K25" s="78"/>
      <c r="L25" s="50"/>
      <c r="BK25" s="16"/>
      <c r="BL25"/>
    </row>
    <row r="26" spans="1:64" ht="15" thickBot="1" x14ac:dyDescent="0.35">
      <c r="A26" s="72" t="s">
        <v>32</v>
      </c>
      <c r="B26" s="77" t="s">
        <v>38</v>
      </c>
      <c r="C26" s="3">
        <v>71482</v>
      </c>
      <c r="D26" s="54">
        <f t="shared" ref="D26:D38" si="5">SUM(C26/$C$18)</f>
        <v>4.9638119898398865E-3</v>
      </c>
      <c r="E26" s="55">
        <f t="shared" ref="E26:E38" si="6">ROUND(C26/$C$11,2)</f>
        <v>5956.83</v>
      </c>
      <c r="F26" s="109">
        <f t="shared" si="2"/>
        <v>2144.46</v>
      </c>
      <c r="G26" s="112">
        <f t="shared" si="3"/>
        <v>73626.460000000006</v>
      </c>
      <c r="H26" s="75">
        <f t="shared" si="4"/>
        <v>4.8233267448444181E-3</v>
      </c>
      <c r="I26" s="76"/>
      <c r="J26"/>
      <c r="K26" s="78"/>
      <c r="L26" s="50"/>
      <c r="BK26" s="16"/>
      <c r="BL26"/>
    </row>
    <row r="27" spans="1:64" ht="15" thickBot="1" x14ac:dyDescent="0.35">
      <c r="A27" s="72" t="s">
        <v>32</v>
      </c>
      <c r="B27" s="79" t="s">
        <v>39</v>
      </c>
      <c r="C27" s="3">
        <v>286939</v>
      </c>
      <c r="D27" s="54">
        <f t="shared" si="5"/>
        <v>1.9925453240713285E-2</v>
      </c>
      <c r="E27" s="55">
        <f t="shared" si="6"/>
        <v>23911.58</v>
      </c>
      <c r="F27" s="109">
        <f t="shared" si="2"/>
        <v>8608.17</v>
      </c>
      <c r="G27" s="112">
        <f t="shared" si="3"/>
        <v>295547.17</v>
      </c>
      <c r="H27" s="75">
        <f t="shared" si="4"/>
        <v>1.9361525318806305E-2</v>
      </c>
      <c r="I27" s="76"/>
      <c r="J27"/>
      <c r="K27" s="78"/>
      <c r="L27" s="50"/>
      <c r="BK27" s="16"/>
      <c r="BL27"/>
    </row>
    <row r="28" spans="1:64" ht="14.4" x14ac:dyDescent="0.3">
      <c r="A28" s="72" t="s">
        <v>32</v>
      </c>
      <c r="B28" s="77" t="s">
        <v>40</v>
      </c>
      <c r="C28" s="3">
        <v>106338</v>
      </c>
      <c r="D28" s="54">
        <f t="shared" si="5"/>
        <v>7.3842623230406792E-3</v>
      </c>
      <c r="E28" s="55">
        <f t="shared" si="6"/>
        <v>8861.5</v>
      </c>
      <c r="F28" s="109">
        <f t="shared" si="2"/>
        <v>3190.14</v>
      </c>
      <c r="G28" s="112">
        <f t="shared" si="3"/>
        <v>109528.14</v>
      </c>
      <c r="H28" s="75">
        <f t="shared" si="4"/>
        <v>7.1752737667282063E-3</v>
      </c>
      <c r="I28" s="76"/>
      <c r="J28"/>
      <c r="K28" s="78"/>
      <c r="L28" s="50"/>
      <c r="BK28" s="16"/>
      <c r="BL28"/>
    </row>
    <row r="29" spans="1:64" ht="14.4" x14ac:dyDescent="0.3">
      <c r="A29" s="72" t="s">
        <v>32</v>
      </c>
      <c r="B29" s="77" t="s">
        <v>41</v>
      </c>
      <c r="C29" s="3">
        <v>82235</v>
      </c>
      <c r="D29" s="54">
        <f t="shared" si="5"/>
        <v>5.71051564008398E-3</v>
      </c>
      <c r="E29" s="55">
        <f t="shared" si="6"/>
        <v>6852.92</v>
      </c>
      <c r="F29" s="112">
        <f>SUM(C29*M$5)</f>
        <v>2467.0499999999997</v>
      </c>
      <c r="G29" s="112">
        <f t="shared" si="3"/>
        <v>84702.05</v>
      </c>
      <c r="H29" s="75">
        <f t="shared" si="4"/>
        <v>5.5488972729117918E-3</v>
      </c>
      <c r="I29" s="76"/>
      <c r="J29"/>
      <c r="K29" s="78"/>
      <c r="L29" s="50"/>
      <c r="BK29" s="16"/>
      <c r="BL29"/>
    </row>
    <row r="30" spans="1:64" ht="14.4" x14ac:dyDescent="0.3">
      <c r="A30" s="72" t="s">
        <v>32</v>
      </c>
      <c r="B30" s="77" t="s">
        <v>42</v>
      </c>
      <c r="C30" s="3">
        <v>7326551</v>
      </c>
      <c r="D30" s="54">
        <f t="shared" si="5"/>
        <v>0.50876614669390063</v>
      </c>
      <c r="E30" s="55">
        <f t="shared" si="6"/>
        <v>610545.92000000004</v>
      </c>
      <c r="F30" s="112">
        <f t="shared" ref="F30:F40" si="7">SUM(C30*M$3)</f>
        <v>366327.55000000005</v>
      </c>
      <c r="G30" s="112">
        <f t="shared" si="3"/>
        <v>7692878.5499999998</v>
      </c>
      <c r="H30" s="75">
        <f t="shared" si="4"/>
        <v>0.50396646606471285</v>
      </c>
      <c r="I30" s="76"/>
      <c r="J30"/>
      <c r="K30" s="78"/>
      <c r="L30" s="50"/>
      <c r="BK30" s="16"/>
      <c r="BL30"/>
    </row>
    <row r="31" spans="1:64" ht="14.4" x14ac:dyDescent="0.3">
      <c r="A31" s="72" t="s">
        <v>32</v>
      </c>
      <c r="B31" s="77" t="s">
        <v>43</v>
      </c>
      <c r="C31" s="3">
        <v>1937647</v>
      </c>
      <c r="D31" s="54">
        <f t="shared" si="5"/>
        <v>0.13455297012782638</v>
      </c>
      <c r="E31" s="55">
        <f t="shared" si="6"/>
        <v>161470.57999999999</v>
      </c>
      <c r="F31" s="112">
        <f t="shared" si="7"/>
        <v>96882.35</v>
      </c>
      <c r="G31" s="112">
        <f t="shared" si="3"/>
        <v>2034529.35</v>
      </c>
      <c r="H31" s="75">
        <f t="shared" si="4"/>
        <v>0.13328360248511104</v>
      </c>
      <c r="I31" s="76"/>
      <c r="J31"/>
      <c r="K31" s="78"/>
      <c r="L31" s="50"/>
      <c r="BK31" s="16"/>
      <c r="BL31"/>
    </row>
    <row r="32" spans="1:64" ht="14.4" x14ac:dyDescent="0.3">
      <c r="A32" s="72" t="s">
        <v>32</v>
      </c>
      <c r="B32" s="77" t="s">
        <v>44</v>
      </c>
      <c r="C32" s="3">
        <v>1616155</v>
      </c>
      <c r="D32" s="54">
        <f t="shared" si="5"/>
        <v>0.11222810730589074</v>
      </c>
      <c r="E32" s="55">
        <f t="shared" si="6"/>
        <v>134679.57999999999</v>
      </c>
      <c r="F32" s="112">
        <f t="shared" si="7"/>
        <v>80807.75</v>
      </c>
      <c r="G32" s="112">
        <f t="shared" si="3"/>
        <v>1696962.75</v>
      </c>
      <c r="H32" s="75">
        <f t="shared" si="4"/>
        <v>0.11116935157658987</v>
      </c>
      <c r="I32" s="76"/>
      <c r="J32"/>
      <c r="K32" s="78"/>
      <c r="L32" s="50"/>
      <c r="BK32" s="16"/>
      <c r="BL32"/>
    </row>
    <row r="33" spans="1:64" ht="14.4" x14ac:dyDescent="0.3">
      <c r="A33" s="72" t="s">
        <v>32</v>
      </c>
      <c r="B33" s="79" t="s">
        <v>45</v>
      </c>
      <c r="C33" s="3">
        <v>23981</v>
      </c>
      <c r="D33" s="54">
        <f t="shared" si="5"/>
        <v>1.6652748290247937E-3</v>
      </c>
      <c r="E33" s="55">
        <f t="shared" si="6"/>
        <v>1998.42</v>
      </c>
      <c r="F33" s="112">
        <f t="shared" si="7"/>
        <v>1199.05</v>
      </c>
      <c r="G33" s="112">
        <f t="shared" si="3"/>
        <v>25180.05</v>
      </c>
      <c r="H33" s="75">
        <f t="shared" si="4"/>
        <v>1.6495646891283335E-3</v>
      </c>
      <c r="I33" s="76"/>
      <c r="J33"/>
      <c r="K33" s="78"/>
      <c r="L33" s="50"/>
      <c r="BK33" s="16"/>
      <c r="BL33"/>
    </row>
    <row r="34" spans="1:64" ht="14.4" x14ac:dyDescent="0.3">
      <c r="A34" s="72" t="s">
        <v>32</v>
      </c>
      <c r="B34" s="77" t="s">
        <v>46</v>
      </c>
      <c r="C34" s="80">
        <v>187318</v>
      </c>
      <c r="D34" s="54">
        <f t="shared" si="5"/>
        <v>1.3007628973907106E-2</v>
      </c>
      <c r="E34" s="55">
        <f t="shared" si="6"/>
        <v>15609.83</v>
      </c>
      <c r="F34" s="112">
        <f t="shared" si="7"/>
        <v>9365.9</v>
      </c>
      <c r="G34" s="112">
        <f t="shared" si="3"/>
        <v>196683.9</v>
      </c>
      <c r="H34" s="75">
        <f t="shared" si="4"/>
        <v>1.288491549302119E-2</v>
      </c>
      <c r="I34" s="76"/>
      <c r="J34"/>
      <c r="K34" s="78"/>
      <c r="L34" s="50"/>
      <c r="BK34" s="16"/>
      <c r="BL34"/>
    </row>
    <row r="35" spans="1:64" ht="14.4" x14ac:dyDescent="0.3">
      <c r="A35" s="72" t="s">
        <v>32</v>
      </c>
      <c r="B35" s="77" t="s">
        <v>47</v>
      </c>
      <c r="C35" s="3">
        <v>30830</v>
      </c>
      <c r="D35" s="54">
        <f t="shared" si="5"/>
        <v>2.1408791534479124E-3</v>
      </c>
      <c r="E35" s="55">
        <f t="shared" si="6"/>
        <v>2569.17</v>
      </c>
      <c r="F35" s="112">
        <f t="shared" si="7"/>
        <v>1541.5</v>
      </c>
      <c r="G35" s="112">
        <f t="shared" si="3"/>
        <v>32371.5</v>
      </c>
      <c r="H35" s="75">
        <f t="shared" si="4"/>
        <v>2.1206821803021773E-3</v>
      </c>
      <c r="I35" s="76"/>
      <c r="J35"/>
      <c r="K35" s="78"/>
      <c r="L35" s="50"/>
      <c r="BK35" s="16"/>
      <c r="BL35"/>
    </row>
    <row r="36" spans="1:64" ht="14.4" x14ac:dyDescent="0.3">
      <c r="A36" s="72" t="s">
        <v>32</v>
      </c>
      <c r="B36" s="79" t="s">
        <v>48</v>
      </c>
      <c r="C36" s="3">
        <v>860</v>
      </c>
      <c r="D36" s="54">
        <f t="shared" si="5"/>
        <v>5.9719626077366357E-5</v>
      </c>
      <c r="E36" s="55">
        <f t="shared" si="6"/>
        <v>71.67</v>
      </c>
      <c r="F36" s="112">
        <f t="shared" si="7"/>
        <v>43</v>
      </c>
      <c r="G36" s="112">
        <f t="shared" si="3"/>
        <v>903</v>
      </c>
      <c r="H36" s="75">
        <f t="shared" si="4"/>
        <v>5.9156233378523281E-5</v>
      </c>
      <c r="I36" s="76"/>
      <c r="J36"/>
      <c r="K36" s="78"/>
      <c r="L36" s="50"/>
      <c r="BK36" s="16"/>
      <c r="BL36"/>
    </row>
    <row r="37" spans="1:64" ht="14.4" x14ac:dyDescent="0.3">
      <c r="A37" s="72" t="s">
        <v>32</v>
      </c>
      <c r="B37" s="77" t="s">
        <v>49</v>
      </c>
      <c r="C37" s="80">
        <v>-24788</v>
      </c>
      <c r="D37" s="54">
        <f t="shared" si="5"/>
        <v>-1.7213140595415783E-3</v>
      </c>
      <c r="E37" s="55">
        <f t="shared" si="6"/>
        <v>-2065.67</v>
      </c>
      <c r="F37" s="112">
        <f t="shared" si="7"/>
        <v>-1239.4000000000001</v>
      </c>
      <c r="G37" s="112">
        <f t="shared" si="3"/>
        <v>-26027.4</v>
      </c>
      <c r="H37" s="75">
        <f t="shared" si="4"/>
        <v>-1.7050752476591106E-3</v>
      </c>
      <c r="I37" s="76"/>
      <c r="J37"/>
      <c r="K37" s="78"/>
      <c r="L37" s="50"/>
      <c r="BK37" s="16"/>
      <c r="BL37"/>
    </row>
    <row r="38" spans="1:64" ht="15" thickBot="1" x14ac:dyDescent="0.35">
      <c r="A38" s="72" t="s">
        <v>32</v>
      </c>
      <c r="B38" s="77" t="s">
        <v>50</v>
      </c>
      <c r="C38" s="3">
        <v>4079</v>
      </c>
      <c r="D38" s="54">
        <f t="shared" si="5"/>
        <v>2.8325157531346206E-4</v>
      </c>
      <c r="E38" s="55">
        <f t="shared" si="6"/>
        <v>339.92</v>
      </c>
      <c r="F38" s="117">
        <f t="shared" si="7"/>
        <v>203.95000000000002</v>
      </c>
      <c r="G38" s="117">
        <f t="shared" si="3"/>
        <v>4282.95</v>
      </c>
      <c r="H38" s="75">
        <f t="shared" si="4"/>
        <v>2.8057939064069355E-4</v>
      </c>
      <c r="I38" s="76"/>
      <c r="J38"/>
      <c r="K38" s="78"/>
      <c r="L38" s="50"/>
      <c r="BK38" s="16"/>
      <c r="BL38"/>
    </row>
    <row r="39" spans="1:64" ht="16.2" thickBot="1" x14ac:dyDescent="0.35">
      <c r="A39" s="31"/>
      <c r="B39" s="59" t="s">
        <v>51</v>
      </c>
      <c r="C39" s="62">
        <f>SUM(C21:C38)</f>
        <v>12297156</v>
      </c>
      <c r="D39" s="81">
        <f>SUM(C39/$C$18)</f>
        <v>0.85393204434307235</v>
      </c>
      <c r="E39" s="62">
        <f>SUM(E21:E38)</f>
        <v>1024763.01</v>
      </c>
      <c r="F39" s="131">
        <f t="shared" si="7"/>
        <v>614857.80000000005</v>
      </c>
      <c r="G39" s="62">
        <f>SUM(G21:G38)</f>
        <v>12888123.34</v>
      </c>
      <c r="H39" s="81">
        <f>IF($G$18&gt;0,G39/$G$18,0)</f>
        <v>0.84431099901686923</v>
      </c>
      <c r="I39" s="76"/>
      <c r="J39"/>
      <c r="K39" s="78"/>
      <c r="L39" s="50"/>
      <c r="Z39" s="82"/>
      <c r="BK39" s="16"/>
      <c r="BL39"/>
    </row>
    <row r="40" spans="1:64" ht="16.2" thickBot="1" x14ac:dyDescent="0.35">
      <c r="A40" s="31"/>
      <c r="B40" s="59" t="s">
        <v>52</v>
      </c>
      <c r="C40" s="62">
        <f t="shared" ref="C40:H40" si="8">C18-C39</f>
        <v>2103470</v>
      </c>
      <c r="D40" s="83">
        <f t="shared" si="8"/>
        <v>0.14606795565692765</v>
      </c>
      <c r="E40" s="62">
        <f t="shared" si="8"/>
        <v>175289.15999999992</v>
      </c>
      <c r="F40" s="131">
        <f t="shared" si="7"/>
        <v>105173.5</v>
      </c>
      <c r="G40" s="62">
        <f t="shared" si="8"/>
        <v>2376540.2200000007</v>
      </c>
      <c r="H40" s="81">
        <f t="shared" si="8"/>
        <v>0.15568900098313077</v>
      </c>
      <c r="I40" s="76"/>
      <c r="J40"/>
      <c r="K40" s="78"/>
      <c r="L40" s="50"/>
      <c r="BK40" s="16"/>
      <c r="BL40"/>
    </row>
    <row r="41" spans="1:64" ht="16.2" thickBot="1" x14ac:dyDescent="0.35">
      <c r="A41" s="31"/>
      <c r="B41" s="63"/>
      <c r="C41" s="64"/>
      <c r="D41" s="84"/>
      <c r="E41" s="85"/>
      <c r="F41" s="85"/>
      <c r="G41" s="66"/>
      <c r="H41" s="86"/>
      <c r="I41" s="10"/>
      <c r="J41"/>
      <c r="K41" s="78"/>
      <c r="L41" s="50"/>
      <c r="BK41" s="16"/>
      <c r="BL41"/>
    </row>
    <row r="42" spans="1:64" s="89" customFormat="1" ht="16.2" thickBot="1" x14ac:dyDescent="0.35">
      <c r="A42" s="43"/>
      <c r="B42" s="68" t="s">
        <v>53</v>
      </c>
      <c r="C42" s="87"/>
      <c r="D42" s="70"/>
      <c r="E42" s="71"/>
      <c r="F42" s="71"/>
      <c r="G42" s="71"/>
      <c r="H42" s="69"/>
      <c r="I42" s="88"/>
      <c r="K42" s="90"/>
      <c r="L42" s="91"/>
      <c r="BK42" s="92"/>
    </row>
    <row r="43" spans="1:64" s="89" customFormat="1" ht="16.2" thickBot="1" x14ac:dyDescent="0.35">
      <c r="A43" s="72" t="s">
        <v>54</v>
      </c>
      <c r="B43" s="73" t="s">
        <v>55</v>
      </c>
      <c r="C43" s="1">
        <v>234682</v>
      </c>
      <c r="D43" s="54">
        <f t="shared" ref="D43:D92" si="9">SUM(C43/$C$18)</f>
        <v>1.6296652659405223E-2</v>
      </c>
      <c r="E43" s="55">
        <f>ROUND(C43/$C$11,2)</f>
        <v>19556.830000000002</v>
      </c>
      <c r="F43" s="109">
        <f>IF($A$43="fixed",C43*$M$4)</f>
        <v>4693.6400000000003</v>
      </c>
      <c r="G43" s="132">
        <f>C43+F43</f>
        <v>239375.64</v>
      </c>
      <c r="H43" s="127">
        <f>G43/$G$18</f>
        <v>1.5681684634522009E-2</v>
      </c>
      <c r="I43" s="76"/>
      <c r="K43" s="91"/>
      <c r="L43" s="91"/>
      <c r="BK43" s="92"/>
    </row>
    <row r="44" spans="1:64" s="89" customFormat="1" ht="16.2" thickBot="1" x14ac:dyDescent="0.35">
      <c r="A44" s="72" t="s">
        <v>54</v>
      </c>
      <c r="B44" s="77" t="s">
        <v>56</v>
      </c>
      <c r="C44" s="2">
        <v>45000</v>
      </c>
      <c r="D44" s="54">
        <f t="shared" si="9"/>
        <v>3.1248641552110304E-3</v>
      </c>
      <c r="E44" s="55">
        <f t="shared" ref="E44:E90" si="10">ROUND(C44/$C$11,2)</f>
        <v>3750</v>
      </c>
      <c r="F44" s="112">
        <f t="shared" ref="F44:F92" si="11">IF($A$43="fixed",C44*$M$4)</f>
        <v>900</v>
      </c>
      <c r="G44" s="132">
        <f t="shared" ref="G44:G81" si="12">C44+F44</f>
        <v>45900</v>
      </c>
      <c r="H44" s="127">
        <f t="shared" ref="H44:H81" si="13">G44/$G$18</f>
        <v>3.0069447531275951E-3</v>
      </c>
      <c r="I44" s="76"/>
      <c r="K44" s="91"/>
      <c r="L44" s="91"/>
      <c r="BK44" s="92"/>
    </row>
    <row r="45" spans="1:64" s="89" customFormat="1" ht="15" thickBot="1" x14ac:dyDescent="0.35">
      <c r="A45" s="72" t="s">
        <v>54</v>
      </c>
      <c r="B45" s="77" t="s">
        <v>57</v>
      </c>
      <c r="C45" s="3">
        <v>147635</v>
      </c>
      <c r="D45" s="54">
        <f t="shared" si="9"/>
        <v>1.0251984878990678E-2</v>
      </c>
      <c r="E45" s="55">
        <f t="shared" si="10"/>
        <v>12302.92</v>
      </c>
      <c r="F45" s="112">
        <f>IF($A$43="fixed",C45*$M$6)</f>
        <v>7381.75</v>
      </c>
      <c r="G45" s="132">
        <f t="shared" si="12"/>
        <v>155016.75</v>
      </c>
      <c r="H45" s="127">
        <f t="shared" si="13"/>
        <v>1.0155268040509632E-2</v>
      </c>
      <c r="I45" s="76"/>
      <c r="K45" s="91"/>
      <c r="L45" s="91"/>
      <c r="BK45" s="92"/>
    </row>
    <row r="46" spans="1:64" s="89" customFormat="1" ht="15" thickBot="1" x14ac:dyDescent="0.35">
      <c r="A46" s="72" t="s">
        <v>54</v>
      </c>
      <c r="B46" s="77" t="s">
        <v>58</v>
      </c>
      <c r="C46" s="3">
        <v>167112</v>
      </c>
      <c r="D46" s="54">
        <f t="shared" si="9"/>
        <v>1.1604495526791683E-2</v>
      </c>
      <c r="E46" s="55">
        <f t="shared" si="10"/>
        <v>13926</v>
      </c>
      <c r="F46" s="112">
        <f>IF($A$43="fixed",C46*$M$6)</f>
        <v>8355.6</v>
      </c>
      <c r="G46" s="132">
        <f t="shared" si="12"/>
        <v>175467.6</v>
      </c>
      <c r="H46" s="127">
        <f t="shared" si="13"/>
        <v>1.1495019153897421E-2</v>
      </c>
      <c r="I46" s="76"/>
      <c r="K46" s="91"/>
      <c r="L46" s="91"/>
      <c r="BK46" s="92"/>
    </row>
    <row r="47" spans="1:64" s="89" customFormat="1" ht="15" thickBot="1" x14ac:dyDescent="0.35">
      <c r="A47" s="72" t="s">
        <v>54</v>
      </c>
      <c r="B47" s="77" t="s">
        <v>59</v>
      </c>
      <c r="C47" s="3">
        <v>114112</v>
      </c>
      <c r="D47" s="54">
        <f t="shared" si="9"/>
        <v>7.9240999662098018E-3</v>
      </c>
      <c r="E47" s="55">
        <f t="shared" si="10"/>
        <v>9509.33</v>
      </c>
      <c r="F47" s="112">
        <f t="shared" si="11"/>
        <v>2282.2400000000002</v>
      </c>
      <c r="G47" s="132">
        <f t="shared" si="12"/>
        <v>116394.24000000001</v>
      </c>
      <c r="H47" s="127">
        <f t="shared" si="13"/>
        <v>7.6250773259754698E-3</v>
      </c>
      <c r="I47" s="76"/>
      <c r="K47" s="91"/>
      <c r="L47" s="91"/>
      <c r="BK47" s="92"/>
    </row>
    <row r="48" spans="1:64" s="89" customFormat="1" ht="15" thickBot="1" x14ac:dyDescent="0.35">
      <c r="A48" s="72" t="s">
        <v>54</v>
      </c>
      <c r="B48" s="79" t="s">
        <v>60</v>
      </c>
      <c r="C48" s="3">
        <v>34116</v>
      </c>
      <c r="D48" s="54">
        <f t="shared" si="9"/>
        <v>2.3690636782039893E-3</v>
      </c>
      <c r="E48" s="55">
        <f t="shared" si="10"/>
        <v>2843</v>
      </c>
      <c r="F48" s="112">
        <f t="shared" si="11"/>
        <v>682.32</v>
      </c>
      <c r="G48" s="132">
        <f t="shared" si="12"/>
        <v>34798.32</v>
      </c>
      <c r="H48" s="127">
        <f t="shared" si="13"/>
        <v>2.2796650488378007E-3</v>
      </c>
      <c r="I48" s="76"/>
      <c r="K48" s="91"/>
      <c r="L48" s="91"/>
      <c r="BK48" s="92"/>
    </row>
    <row r="49" spans="1:63" s="89" customFormat="1" ht="15" thickBot="1" x14ac:dyDescent="0.35">
      <c r="A49" s="72" t="s">
        <v>54</v>
      </c>
      <c r="B49" s="79" t="s">
        <v>61</v>
      </c>
      <c r="C49" s="3">
        <v>16529</v>
      </c>
      <c r="D49" s="54">
        <f t="shared" si="9"/>
        <v>1.1477973249218471E-3</v>
      </c>
      <c r="E49" s="55">
        <f t="shared" si="10"/>
        <v>1377.42</v>
      </c>
      <c r="F49" s="112">
        <f t="shared" si="11"/>
        <v>330.58</v>
      </c>
      <c r="G49" s="132">
        <f t="shared" si="12"/>
        <v>16859.580000000002</v>
      </c>
      <c r="H49" s="127">
        <f t="shared" si="13"/>
        <v>1.1044842183210227E-3</v>
      </c>
      <c r="I49" s="76"/>
      <c r="K49" s="91"/>
      <c r="L49" s="91"/>
      <c r="BK49" s="92"/>
    </row>
    <row r="50" spans="1:63" s="89" customFormat="1" ht="15" thickBot="1" x14ac:dyDescent="0.35">
      <c r="A50" s="72" t="s">
        <v>54</v>
      </c>
      <c r="B50" s="77" t="s">
        <v>62</v>
      </c>
      <c r="C50" s="3">
        <v>32263</v>
      </c>
      <c r="D50" s="54">
        <f t="shared" si="9"/>
        <v>2.2403887164349659E-3</v>
      </c>
      <c r="E50" s="55">
        <f t="shared" si="10"/>
        <v>2688.58</v>
      </c>
      <c r="F50" s="112">
        <f t="shared" si="11"/>
        <v>645.26</v>
      </c>
      <c r="G50" s="132">
        <f t="shared" si="12"/>
        <v>32908.26</v>
      </c>
      <c r="H50" s="127">
        <f t="shared" si="13"/>
        <v>2.1558457460034582E-3</v>
      </c>
      <c r="I50" s="76"/>
      <c r="K50" s="91"/>
      <c r="L50" s="91"/>
      <c r="BK50" s="92"/>
    </row>
    <row r="51" spans="1:63" s="89" customFormat="1" ht="15" thickBot="1" x14ac:dyDescent="0.35">
      <c r="A51" s="72" t="s">
        <v>54</v>
      </c>
      <c r="B51" s="77" t="s">
        <v>63</v>
      </c>
      <c r="C51" s="3">
        <v>18076</v>
      </c>
      <c r="D51" s="54">
        <f t="shared" si="9"/>
        <v>1.2552232104354353E-3</v>
      </c>
      <c r="E51" s="55">
        <f t="shared" si="10"/>
        <v>1506.33</v>
      </c>
      <c r="F51" s="112">
        <f t="shared" si="11"/>
        <v>361.52</v>
      </c>
      <c r="G51" s="132">
        <f t="shared" si="12"/>
        <v>18437.52</v>
      </c>
      <c r="H51" s="127">
        <f t="shared" si="13"/>
        <v>1.2078562968340981E-3</v>
      </c>
      <c r="I51" s="76"/>
      <c r="K51" s="91"/>
      <c r="L51" s="91"/>
      <c r="BK51" s="92"/>
    </row>
    <row r="52" spans="1:63" s="89" customFormat="1" ht="15" thickBot="1" x14ac:dyDescent="0.35">
      <c r="A52" s="72" t="s">
        <v>54</v>
      </c>
      <c r="B52" s="77" t="s">
        <v>64</v>
      </c>
      <c r="C52" s="3">
        <v>15709</v>
      </c>
      <c r="D52" s="54">
        <f t="shared" si="9"/>
        <v>1.090855355871335E-3</v>
      </c>
      <c r="E52" s="55">
        <f t="shared" si="10"/>
        <v>1309.08</v>
      </c>
      <c r="F52" s="112">
        <f t="shared" si="11"/>
        <v>314.18</v>
      </c>
      <c r="G52" s="132">
        <f t="shared" si="12"/>
        <v>16023.18</v>
      </c>
      <c r="H52" s="127">
        <f t="shared" si="13"/>
        <v>1.0496910028195865E-3</v>
      </c>
      <c r="I52" s="76"/>
      <c r="K52" s="91"/>
      <c r="L52" s="91"/>
      <c r="BK52" s="92"/>
    </row>
    <row r="53" spans="1:63" s="89" customFormat="1" ht="15" thickBot="1" x14ac:dyDescent="0.35">
      <c r="A53" s="72" t="s">
        <v>54</v>
      </c>
      <c r="B53" s="77" t="s">
        <v>65</v>
      </c>
      <c r="C53" s="3">
        <v>19103</v>
      </c>
      <c r="D53" s="54">
        <f t="shared" si="9"/>
        <v>1.3265395545999181E-3</v>
      </c>
      <c r="E53" s="55">
        <f t="shared" si="10"/>
        <v>1591.92</v>
      </c>
      <c r="F53" s="112">
        <f t="shared" si="11"/>
        <v>382.06</v>
      </c>
      <c r="G53" s="132">
        <f t="shared" si="12"/>
        <v>19485.060000000001</v>
      </c>
      <c r="H53" s="127">
        <f t="shared" si="13"/>
        <v>1.2764814581999212E-3</v>
      </c>
      <c r="I53" s="76"/>
      <c r="K53" s="91"/>
      <c r="L53" s="91"/>
      <c r="BK53" s="92"/>
    </row>
    <row r="54" spans="1:63" s="89" customFormat="1" ht="15" thickBot="1" x14ac:dyDescent="0.35">
      <c r="A54" s="72" t="s">
        <v>54</v>
      </c>
      <c r="B54" s="77" t="s">
        <v>66</v>
      </c>
      <c r="C54" s="3">
        <v>16944</v>
      </c>
      <c r="D54" s="54">
        <f t="shared" si="9"/>
        <v>1.1766155165754599E-3</v>
      </c>
      <c r="E54" s="55">
        <f t="shared" si="10"/>
        <v>1412</v>
      </c>
      <c r="F54" s="112">
        <f t="shared" si="11"/>
        <v>338.88</v>
      </c>
      <c r="G54" s="132">
        <f t="shared" si="12"/>
        <v>17282.88</v>
      </c>
      <c r="H54" s="127">
        <f t="shared" si="13"/>
        <v>1.1322149310443105E-3</v>
      </c>
      <c r="I54" s="76"/>
      <c r="K54" s="91"/>
      <c r="L54" s="91"/>
      <c r="BK54" s="92"/>
    </row>
    <row r="55" spans="1:63" s="89" customFormat="1" ht="15" thickBot="1" x14ac:dyDescent="0.35">
      <c r="A55" s="72" t="s">
        <v>54</v>
      </c>
      <c r="B55" s="77" t="s">
        <v>67</v>
      </c>
      <c r="C55" s="3">
        <v>79381</v>
      </c>
      <c r="D55" s="54">
        <f t="shared" si="9"/>
        <v>5.5123298112179286E-3</v>
      </c>
      <c r="E55" s="55">
        <f t="shared" si="10"/>
        <v>6615.08</v>
      </c>
      <c r="F55" s="112">
        <f t="shared" si="11"/>
        <v>1587.6200000000001</v>
      </c>
      <c r="G55" s="132">
        <f t="shared" si="12"/>
        <v>80968.62</v>
      </c>
      <c r="H55" s="127">
        <f t="shared" si="13"/>
        <v>5.3043173655115917E-3</v>
      </c>
      <c r="I55" s="76"/>
      <c r="K55" s="91"/>
      <c r="L55" s="91"/>
      <c r="BK55" s="92"/>
    </row>
    <row r="56" spans="1:63" s="89" customFormat="1" ht="15" thickBot="1" x14ac:dyDescent="0.35">
      <c r="A56" s="72" t="s">
        <v>54</v>
      </c>
      <c r="B56" s="77" t="s">
        <v>68</v>
      </c>
      <c r="C56" s="3">
        <v>28041</v>
      </c>
      <c r="D56" s="54">
        <f t="shared" si="9"/>
        <v>1.9472070172505001E-3</v>
      </c>
      <c r="E56" s="55">
        <f t="shared" si="10"/>
        <v>2336.75</v>
      </c>
      <c r="F56" s="112">
        <f t="shared" si="11"/>
        <v>560.82000000000005</v>
      </c>
      <c r="G56" s="132">
        <f t="shared" si="12"/>
        <v>28601.82</v>
      </c>
      <c r="H56" s="127">
        <f t="shared" si="13"/>
        <v>1.8737275071655755E-3</v>
      </c>
      <c r="I56" s="76"/>
      <c r="K56" s="91"/>
      <c r="L56" s="91"/>
      <c r="BK56" s="92"/>
    </row>
    <row r="57" spans="1:63" s="89" customFormat="1" ht="16.2" thickBot="1" x14ac:dyDescent="0.35">
      <c r="A57" s="72" t="s">
        <v>54</v>
      </c>
      <c r="B57" s="77" t="s">
        <v>69</v>
      </c>
      <c r="C57" s="2">
        <v>3398</v>
      </c>
      <c r="D57" s="54">
        <f t="shared" si="9"/>
        <v>2.3596196443126846E-4</v>
      </c>
      <c r="E57" s="55">
        <f t="shared" si="10"/>
        <v>283.17</v>
      </c>
      <c r="F57" s="112">
        <f t="shared" si="11"/>
        <v>67.960000000000008</v>
      </c>
      <c r="G57" s="132">
        <f t="shared" si="12"/>
        <v>3465.96</v>
      </c>
      <c r="H57" s="127">
        <f t="shared" si="13"/>
        <v>2.2705773935839042E-4</v>
      </c>
      <c r="I57" s="76"/>
      <c r="K57" s="91"/>
      <c r="L57" s="91"/>
      <c r="BK57" s="92"/>
    </row>
    <row r="58" spans="1:63" s="89" customFormat="1" ht="15" thickBot="1" x14ac:dyDescent="0.35">
      <c r="A58" s="72" t="s">
        <v>54</v>
      </c>
      <c r="B58" s="77" t="s">
        <v>70</v>
      </c>
      <c r="C58" s="3">
        <v>2696</v>
      </c>
      <c r="D58" s="54">
        <f t="shared" si="9"/>
        <v>1.8721408360997639E-4</v>
      </c>
      <c r="E58" s="55">
        <f t="shared" si="10"/>
        <v>224.67</v>
      </c>
      <c r="F58" s="112">
        <f t="shared" si="11"/>
        <v>53.92</v>
      </c>
      <c r="G58" s="132">
        <f t="shared" si="12"/>
        <v>2749.92</v>
      </c>
      <c r="H58" s="127">
        <f t="shared" si="13"/>
        <v>1.8014940120959994E-4</v>
      </c>
      <c r="I58" s="76"/>
      <c r="K58" s="91"/>
      <c r="L58" s="91"/>
      <c r="BK58" s="92"/>
    </row>
    <row r="59" spans="1:63" s="89" customFormat="1" ht="15" thickBot="1" x14ac:dyDescent="0.35">
      <c r="A59" s="72" t="s">
        <v>54</v>
      </c>
      <c r="B59" s="77" t="s">
        <v>71</v>
      </c>
      <c r="C59" s="3">
        <v>23000</v>
      </c>
      <c r="D59" s="54">
        <f t="shared" si="9"/>
        <v>1.5971527904411933E-3</v>
      </c>
      <c r="E59" s="55">
        <f t="shared" si="10"/>
        <v>1916.67</v>
      </c>
      <c r="F59" s="112">
        <f t="shared" si="11"/>
        <v>460</v>
      </c>
      <c r="G59" s="132">
        <f t="shared" si="12"/>
        <v>23460</v>
      </c>
      <c r="H59" s="127">
        <f t="shared" si="13"/>
        <v>1.5368828738207708E-3</v>
      </c>
      <c r="I59" s="76"/>
      <c r="K59" s="91"/>
      <c r="L59" s="91"/>
      <c r="BK59" s="92"/>
    </row>
    <row r="60" spans="1:63" s="89" customFormat="1" ht="15" thickBot="1" x14ac:dyDescent="0.35">
      <c r="A60" s="72" t="s">
        <v>54</v>
      </c>
      <c r="B60" s="77" t="s">
        <v>72</v>
      </c>
      <c r="C60" s="3">
        <v>8796</v>
      </c>
      <c r="D60" s="54">
        <f t="shared" si="9"/>
        <v>6.1080678020524945E-4</v>
      </c>
      <c r="E60" s="55">
        <f t="shared" si="10"/>
        <v>733</v>
      </c>
      <c r="F60" s="112">
        <f t="shared" si="11"/>
        <v>175.92000000000002</v>
      </c>
      <c r="G60" s="132">
        <f t="shared" si="12"/>
        <v>8971.92</v>
      </c>
      <c r="H60" s="127">
        <f t="shared" si="13"/>
        <v>5.87757467744674E-4</v>
      </c>
      <c r="I60" s="76"/>
      <c r="K60" s="91"/>
      <c r="L60" s="91"/>
      <c r="BK60" s="92"/>
    </row>
    <row r="61" spans="1:63" s="89" customFormat="1" ht="15" thickBot="1" x14ac:dyDescent="0.35">
      <c r="A61" s="72" t="s">
        <v>54</v>
      </c>
      <c r="B61" s="77" t="s">
        <v>73</v>
      </c>
      <c r="C61" s="3">
        <v>48149</v>
      </c>
      <c r="D61" s="54">
        <f t="shared" si="9"/>
        <v>3.3435352046501314E-3</v>
      </c>
      <c r="E61" s="55">
        <f t="shared" si="10"/>
        <v>4012.42</v>
      </c>
      <c r="F61" s="112">
        <f t="shared" si="11"/>
        <v>962.98</v>
      </c>
      <c r="G61" s="132">
        <f t="shared" si="12"/>
        <v>49111.98</v>
      </c>
      <c r="H61" s="127">
        <f t="shared" si="13"/>
        <v>3.217364064852013E-3</v>
      </c>
      <c r="I61" s="76"/>
      <c r="K61" s="91"/>
      <c r="L61" s="91"/>
      <c r="BK61" s="92"/>
    </row>
    <row r="62" spans="1:63" s="89" customFormat="1" ht="15" thickBot="1" x14ac:dyDescent="0.35">
      <c r="A62" s="72" t="s">
        <v>54</v>
      </c>
      <c r="B62" s="77" t="s">
        <v>74</v>
      </c>
      <c r="C62" s="3">
        <v>38115</v>
      </c>
      <c r="D62" s="54">
        <f t="shared" si="9"/>
        <v>2.6467599394637427E-3</v>
      </c>
      <c r="E62" s="55">
        <f t="shared" si="10"/>
        <v>3176.25</v>
      </c>
      <c r="F62" s="112">
        <f t="shared" si="11"/>
        <v>762.30000000000007</v>
      </c>
      <c r="G62" s="132">
        <f t="shared" si="12"/>
        <v>38877.300000000003</v>
      </c>
      <c r="H62" s="127">
        <f t="shared" si="13"/>
        <v>2.5468822058990733E-3</v>
      </c>
      <c r="I62" s="76"/>
      <c r="K62" s="91"/>
      <c r="L62" s="91"/>
      <c r="BK62" s="92"/>
    </row>
    <row r="63" spans="1:63" s="89" customFormat="1" ht="15" thickBot="1" x14ac:dyDescent="0.35">
      <c r="A63" s="72" t="s">
        <v>54</v>
      </c>
      <c r="B63" s="77" t="s">
        <v>75</v>
      </c>
      <c r="C63" s="3">
        <v>35407</v>
      </c>
      <c r="D63" s="54">
        <f t="shared" si="9"/>
        <v>2.4587125587457099E-3</v>
      </c>
      <c r="E63" s="55">
        <f t="shared" si="10"/>
        <v>2950.58</v>
      </c>
      <c r="F63" s="112">
        <f t="shared" si="11"/>
        <v>708.14</v>
      </c>
      <c r="G63" s="132">
        <f t="shared" si="12"/>
        <v>36115.14</v>
      </c>
      <c r="H63" s="127">
        <f t="shared" si="13"/>
        <v>2.3659309527553057E-3</v>
      </c>
      <c r="I63" s="76"/>
      <c r="K63" s="91"/>
      <c r="L63" s="91"/>
      <c r="BK63" s="93"/>
    </row>
    <row r="64" spans="1:63" s="89" customFormat="1" ht="15" thickBot="1" x14ac:dyDescent="0.35">
      <c r="A64" s="72" t="s">
        <v>54</v>
      </c>
      <c r="B64" s="77" t="s">
        <v>76</v>
      </c>
      <c r="C64" s="3">
        <v>20944</v>
      </c>
      <c r="D64" s="54">
        <f t="shared" si="9"/>
        <v>1.4543812192608849E-3</v>
      </c>
      <c r="E64" s="55">
        <f t="shared" si="10"/>
        <v>1745.33</v>
      </c>
      <c r="F64" s="112">
        <f t="shared" si="11"/>
        <v>418.88</v>
      </c>
      <c r="G64" s="132">
        <f t="shared" si="12"/>
        <v>21362.880000000001</v>
      </c>
      <c r="H64" s="127">
        <f t="shared" si="13"/>
        <v>1.3994989091000967E-3</v>
      </c>
      <c r="I64" s="76"/>
      <c r="K64" s="91"/>
      <c r="L64" s="91"/>
      <c r="BK64" s="93"/>
    </row>
    <row r="65" spans="1:63" s="89" customFormat="1" ht="15" thickBot="1" x14ac:dyDescent="0.35">
      <c r="A65" s="72" t="s">
        <v>54</v>
      </c>
      <c r="B65" s="77" t="s">
        <v>77</v>
      </c>
      <c r="C65" s="3">
        <v>19669</v>
      </c>
      <c r="D65" s="54">
        <f t="shared" si="9"/>
        <v>1.3658434015299057E-3</v>
      </c>
      <c r="E65" s="55">
        <f t="shared" si="10"/>
        <v>1639.08</v>
      </c>
      <c r="F65" s="112">
        <f t="shared" si="11"/>
        <v>393.38</v>
      </c>
      <c r="G65" s="132">
        <f t="shared" si="12"/>
        <v>20062.38</v>
      </c>
      <c r="H65" s="127">
        <f t="shared" si="13"/>
        <v>1.3143021410948149E-3</v>
      </c>
      <c r="I65" s="76"/>
      <c r="K65" s="91"/>
      <c r="L65" s="91"/>
      <c r="BK65" s="93"/>
    </row>
    <row r="66" spans="1:63" s="89" customFormat="1" ht="16.2" thickBot="1" x14ac:dyDescent="0.35">
      <c r="A66" s="72" t="s">
        <v>54</v>
      </c>
      <c r="B66" s="77" t="s">
        <v>78</v>
      </c>
      <c r="C66" s="2">
        <v>13197</v>
      </c>
      <c r="D66" s="54">
        <f t="shared" si="9"/>
        <v>9.1641849458488813E-4</v>
      </c>
      <c r="E66" s="55">
        <f t="shared" si="10"/>
        <v>1099.75</v>
      </c>
      <c r="F66" s="112">
        <f t="shared" si="11"/>
        <v>263.94</v>
      </c>
      <c r="G66" s="132">
        <f t="shared" si="12"/>
        <v>13460.94</v>
      </c>
      <c r="H66" s="127">
        <f t="shared" si="13"/>
        <v>8.8183666460055275E-4</v>
      </c>
      <c r="I66" s="76"/>
      <c r="K66" s="91"/>
      <c r="L66" s="91"/>
      <c r="BK66" s="93"/>
    </row>
    <row r="67" spans="1:63" s="89" customFormat="1" ht="15" thickBot="1" x14ac:dyDescent="0.35">
      <c r="A67" s="72" t="s">
        <v>54</v>
      </c>
      <c r="B67" s="77" t="s">
        <v>79</v>
      </c>
      <c r="C67" s="3">
        <v>13197</v>
      </c>
      <c r="D67" s="54">
        <f t="shared" si="9"/>
        <v>9.1641849458488813E-4</v>
      </c>
      <c r="E67" s="55">
        <f t="shared" si="10"/>
        <v>1099.75</v>
      </c>
      <c r="F67" s="112">
        <f t="shared" si="11"/>
        <v>263.94</v>
      </c>
      <c r="G67" s="132">
        <f t="shared" si="12"/>
        <v>13460.94</v>
      </c>
      <c r="H67" s="127">
        <f t="shared" si="13"/>
        <v>8.8183666460055275E-4</v>
      </c>
      <c r="I67" s="76"/>
      <c r="K67" s="91"/>
      <c r="L67" s="91"/>
      <c r="BK67" s="93"/>
    </row>
    <row r="68" spans="1:63" s="89" customFormat="1" ht="15" thickBot="1" x14ac:dyDescent="0.35">
      <c r="A68" s="72" t="s">
        <v>54</v>
      </c>
      <c r="B68" s="79" t="s">
        <v>80</v>
      </c>
      <c r="C68" s="3">
        <v>22425</v>
      </c>
      <c r="D68" s="54">
        <f t="shared" si="9"/>
        <v>1.5572239706801636E-3</v>
      </c>
      <c r="E68" s="55">
        <f t="shared" si="10"/>
        <v>1868.75</v>
      </c>
      <c r="F68" s="112">
        <f t="shared" si="11"/>
        <v>448.5</v>
      </c>
      <c r="G68" s="132">
        <f t="shared" si="12"/>
        <v>22873.5</v>
      </c>
      <c r="H68" s="127">
        <f t="shared" si="13"/>
        <v>1.4984608019752517E-3</v>
      </c>
      <c r="I68" s="76"/>
      <c r="K68" s="91"/>
      <c r="L68" s="91"/>
      <c r="BK68" s="93"/>
    </row>
    <row r="69" spans="1:63" s="89" customFormat="1" ht="15" thickBot="1" x14ac:dyDescent="0.35">
      <c r="A69" s="72" t="s">
        <v>54</v>
      </c>
      <c r="B69" s="77" t="s">
        <v>81</v>
      </c>
      <c r="C69" s="3">
        <v>77494</v>
      </c>
      <c r="D69" s="54">
        <f t="shared" si="9"/>
        <v>5.3812938409760801E-3</v>
      </c>
      <c r="E69" s="55">
        <f t="shared" si="10"/>
        <v>6457.83</v>
      </c>
      <c r="F69" s="112">
        <f t="shared" si="11"/>
        <v>1549.88</v>
      </c>
      <c r="G69" s="132">
        <f t="shared" si="12"/>
        <v>79043.88</v>
      </c>
      <c r="H69" s="127">
        <f t="shared" si="13"/>
        <v>5.1782261488637748E-3</v>
      </c>
      <c r="I69" s="76"/>
      <c r="K69" s="91"/>
      <c r="L69" s="91"/>
      <c r="BK69" s="93"/>
    </row>
    <row r="70" spans="1:63" s="89" customFormat="1" ht="15" thickBot="1" x14ac:dyDescent="0.35">
      <c r="A70" s="72" t="s">
        <v>54</v>
      </c>
      <c r="B70" s="77" t="s">
        <v>82</v>
      </c>
      <c r="C70" s="3">
        <v>14707</v>
      </c>
      <c r="D70" s="54">
        <f t="shared" si="9"/>
        <v>1.0212750473486362E-3</v>
      </c>
      <c r="E70" s="55">
        <f t="shared" si="10"/>
        <v>1225.58</v>
      </c>
      <c r="F70" s="112">
        <f t="shared" si="11"/>
        <v>294.14</v>
      </c>
      <c r="G70" s="132">
        <f t="shared" si="12"/>
        <v>15001.14</v>
      </c>
      <c r="H70" s="127">
        <f t="shared" si="13"/>
        <v>9.8273636631661192E-4</v>
      </c>
      <c r="I70" s="76"/>
      <c r="K70" s="91"/>
      <c r="L70" s="91"/>
      <c r="BK70" s="93"/>
    </row>
    <row r="71" spans="1:63" s="89" customFormat="1" ht="15" thickBot="1" x14ac:dyDescent="0.35">
      <c r="A71" s="72" t="s">
        <v>54</v>
      </c>
      <c r="B71" s="77" t="s">
        <v>83</v>
      </c>
      <c r="C71" s="3">
        <v>86063</v>
      </c>
      <c r="D71" s="54">
        <f t="shared" si="9"/>
        <v>5.9763374175539315E-3</v>
      </c>
      <c r="E71" s="55">
        <f>ROUND(C71/$C$11,2)</f>
        <v>7171.92</v>
      </c>
      <c r="F71" s="112">
        <f t="shared" si="11"/>
        <v>1721.26</v>
      </c>
      <c r="G71" s="132">
        <f t="shared" si="12"/>
        <v>87784.26</v>
      </c>
      <c r="H71" s="127">
        <f t="shared" si="13"/>
        <v>5.7508152508537825E-3</v>
      </c>
      <c r="I71" s="76"/>
      <c r="K71" s="91"/>
      <c r="L71" s="91"/>
      <c r="BK71" s="93"/>
    </row>
    <row r="72" spans="1:63" s="89" customFormat="1" ht="15" thickBot="1" x14ac:dyDescent="0.35">
      <c r="A72" s="72" t="s">
        <v>54</v>
      </c>
      <c r="B72" s="77" t="s">
        <v>84</v>
      </c>
      <c r="C72" s="3">
        <v>44723</v>
      </c>
      <c r="D72" s="54">
        <f t="shared" si="9"/>
        <v>3.1056288803000646E-3</v>
      </c>
      <c r="E72" s="55">
        <f t="shared" si="10"/>
        <v>3726.92</v>
      </c>
      <c r="F72" s="112">
        <f t="shared" si="11"/>
        <v>894.46</v>
      </c>
      <c r="G72" s="132">
        <f t="shared" si="12"/>
        <v>45617.46</v>
      </c>
      <c r="H72" s="127">
        <f t="shared" si="13"/>
        <v>2.988435337647232E-3</v>
      </c>
      <c r="I72" s="76"/>
      <c r="K72" s="91"/>
      <c r="L72" s="91"/>
      <c r="BK72" s="93"/>
    </row>
    <row r="73" spans="1:63" s="89" customFormat="1" ht="15" thickBot="1" x14ac:dyDescent="0.35">
      <c r="A73" s="72" t="s">
        <v>54</v>
      </c>
      <c r="B73" s="77" t="s">
        <v>85</v>
      </c>
      <c r="C73" s="3">
        <v>32559</v>
      </c>
      <c r="D73" s="54">
        <f t="shared" si="9"/>
        <v>2.2609433784336877E-3</v>
      </c>
      <c r="E73" s="55">
        <f t="shared" si="10"/>
        <v>2713.25</v>
      </c>
      <c r="F73" s="112">
        <f t="shared" si="11"/>
        <v>651.18000000000006</v>
      </c>
      <c r="G73" s="132">
        <f t="shared" si="12"/>
        <v>33210.18</v>
      </c>
      <c r="H73" s="127">
        <f t="shared" si="13"/>
        <v>2.1756247603795863E-3</v>
      </c>
      <c r="I73" s="76"/>
      <c r="K73" s="91"/>
      <c r="L73" s="91"/>
      <c r="BK73" s="93"/>
    </row>
    <row r="74" spans="1:63" s="89" customFormat="1" ht="15" thickBot="1" x14ac:dyDescent="0.35">
      <c r="A74" s="72" t="s">
        <v>54</v>
      </c>
      <c r="B74" s="77" t="s">
        <v>86</v>
      </c>
      <c r="C74" s="3">
        <v>20769</v>
      </c>
      <c r="D74" s="54">
        <f t="shared" si="9"/>
        <v>1.4422289697683976E-3</v>
      </c>
      <c r="E74" s="55">
        <f t="shared" si="10"/>
        <v>1730.75</v>
      </c>
      <c r="F74" s="112">
        <f t="shared" si="11"/>
        <v>415.38</v>
      </c>
      <c r="G74" s="132">
        <f t="shared" si="12"/>
        <v>21184.38</v>
      </c>
      <c r="H74" s="127">
        <f t="shared" si="13"/>
        <v>1.3878052350601562E-3</v>
      </c>
      <c r="I74" s="76"/>
      <c r="K74" s="91"/>
      <c r="L74" s="91"/>
      <c r="BK74" s="93"/>
    </row>
    <row r="75" spans="1:63" s="89" customFormat="1" ht="16.2" thickBot="1" x14ac:dyDescent="0.35">
      <c r="A75" s="72" t="s">
        <v>54</v>
      </c>
      <c r="B75" s="77" t="s">
        <v>87</v>
      </c>
      <c r="C75" s="2">
        <v>20014</v>
      </c>
      <c r="D75" s="54">
        <f t="shared" si="9"/>
        <v>1.3898006933865236E-3</v>
      </c>
      <c r="E75" s="55">
        <f t="shared" si="10"/>
        <v>1667.83</v>
      </c>
      <c r="F75" s="112">
        <f t="shared" si="11"/>
        <v>400.28000000000003</v>
      </c>
      <c r="G75" s="132">
        <f t="shared" si="12"/>
        <v>20414.28</v>
      </c>
      <c r="H75" s="127">
        <f t="shared" si="13"/>
        <v>1.3373553842021264E-3</v>
      </c>
      <c r="I75" s="76"/>
      <c r="K75" s="91"/>
      <c r="L75" s="91"/>
      <c r="BK75" s="93"/>
    </row>
    <row r="76" spans="1:63" s="89" customFormat="1" ht="15" thickBot="1" x14ac:dyDescent="0.35">
      <c r="A76" s="72" t="s">
        <v>54</v>
      </c>
      <c r="B76" s="77" t="s">
        <v>88</v>
      </c>
      <c r="C76" s="3">
        <v>34044</v>
      </c>
      <c r="D76" s="54">
        <f t="shared" si="9"/>
        <v>2.3640638955556514E-3</v>
      </c>
      <c r="E76" s="55">
        <f t="shared" si="10"/>
        <v>2837</v>
      </c>
      <c r="F76" s="112">
        <f t="shared" si="11"/>
        <v>680.88</v>
      </c>
      <c r="G76" s="132">
        <f t="shared" si="12"/>
        <v>34724.879999999997</v>
      </c>
      <c r="H76" s="127">
        <f t="shared" si="13"/>
        <v>2.2748539372327964E-3</v>
      </c>
      <c r="I76" s="76"/>
      <c r="K76" s="91"/>
      <c r="L76" s="91"/>
      <c r="BK76" s="93"/>
    </row>
    <row r="77" spans="1:63" s="89" customFormat="1" ht="15" thickBot="1" x14ac:dyDescent="0.35">
      <c r="A77" s="72" t="s">
        <v>54</v>
      </c>
      <c r="B77" s="79" t="s">
        <v>89</v>
      </c>
      <c r="C77" s="3">
        <v>39527</v>
      </c>
      <c r="D77" s="54">
        <f t="shared" si="9"/>
        <v>2.7448112325116976E-3</v>
      </c>
      <c r="E77" s="55">
        <f t="shared" si="10"/>
        <v>3293.92</v>
      </c>
      <c r="F77" s="112">
        <f t="shared" si="11"/>
        <v>790.54</v>
      </c>
      <c r="G77" s="132">
        <f t="shared" si="12"/>
        <v>40317.54</v>
      </c>
      <c r="H77" s="127">
        <f t="shared" si="13"/>
        <v>2.6412334501527655E-3</v>
      </c>
      <c r="I77" s="76"/>
      <c r="K77" s="91"/>
      <c r="L77" s="91"/>
      <c r="BK77" s="93"/>
    </row>
    <row r="78" spans="1:63" s="89" customFormat="1" ht="15" thickBot="1" x14ac:dyDescent="0.35">
      <c r="A78" s="72" t="s">
        <v>54</v>
      </c>
      <c r="B78" s="79" t="s">
        <v>90</v>
      </c>
      <c r="C78" s="3">
        <v>66623</v>
      </c>
      <c r="D78" s="54">
        <f t="shared" si="9"/>
        <v>4.6263961025027663E-3</v>
      </c>
      <c r="E78" s="55">
        <f t="shared" si="10"/>
        <v>5551.92</v>
      </c>
      <c r="F78" s="112">
        <f t="shared" si="11"/>
        <v>1332.46</v>
      </c>
      <c r="G78" s="132">
        <f t="shared" si="12"/>
        <v>67955.460000000006</v>
      </c>
      <c r="H78" s="127">
        <f t="shared" si="13"/>
        <v>4.4518151175026617E-3</v>
      </c>
      <c r="I78" s="76"/>
      <c r="K78" s="91"/>
      <c r="L78" s="91"/>
      <c r="BK78" s="93"/>
    </row>
    <row r="79" spans="1:63" s="89" customFormat="1" ht="15" thickBot="1" x14ac:dyDescent="0.35">
      <c r="A79" s="72" t="s">
        <v>54</v>
      </c>
      <c r="B79" s="79" t="s">
        <v>91</v>
      </c>
      <c r="C79" s="3">
        <v>23564</v>
      </c>
      <c r="D79" s="54">
        <f t="shared" si="9"/>
        <v>1.6363177545198383E-3</v>
      </c>
      <c r="E79" s="55">
        <f t="shared" si="10"/>
        <v>1963.67</v>
      </c>
      <c r="F79" s="112">
        <f t="shared" si="11"/>
        <v>471.28000000000003</v>
      </c>
      <c r="G79" s="132">
        <f t="shared" si="12"/>
        <v>24035.279999999999</v>
      </c>
      <c r="H79" s="127">
        <f t="shared" si="13"/>
        <v>1.5745699147266367E-3</v>
      </c>
      <c r="I79" s="76"/>
      <c r="K79" s="91"/>
      <c r="L79" s="91"/>
      <c r="BK79" s="93"/>
    </row>
    <row r="80" spans="1:63" s="89" customFormat="1" ht="15" thickBot="1" x14ac:dyDescent="0.35">
      <c r="A80" s="72" t="s">
        <v>54</v>
      </c>
      <c r="B80" s="79" t="s">
        <v>92</v>
      </c>
      <c r="C80" s="3">
        <v>33492</v>
      </c>
      <c r="D80" s="54">
        <f t="shared" si="9"/>
        <v>2.3257322285850628E-3</v>
      </c>
      <c r="E80" s="55">
        <f t="shared" si="10"/>
        <v>2791</v>
      </c>
      <c r="F80" s="112">
        <f t="shared" si="11"/>
        <v>669.84</v>
      </c>
      <c r="G80" s="132">
        <f t="shared" si="12"/>
        <v>34161.839999999997</v>
      </c>
      <c r="H80" s="127">
        <f t="shared" si="13"/>
        <v>2.2379687482610979E-3</v>
      </c>
      <c r="I80" s="76"/>
      <c r="K80" s="91"/>
      <c r="L80" s="91"/>
      <c r="BK80" s="93"/>
    </row>
    <row r="81" spans="1:64" s="89" customFormat="1" ht="15" thickBot="1" x14ac:dyDescent="0.35">
      <c r="A81" s="72" t="s">
        <v>54</v>
      </c>
      <c r="B81" s="79" t="s">
        <v>93</v>
      </c>
      <c r="C81" s="3">
        <v>187153</v>
      </c>
      <c r="D81" s="54">
        <f t="shared" si="9"/>
        <v>1.2996171138671332E-2</v>
      </c>
      <c r="E81" s="55">
        <f t="shared" si="10"/>
        <v>15596.08</v>
      </c>
      <c r="F81" s="117">
        <f t="shared" si="11"/>
        <v>3743.06</v>
      </c>
      <c r="G81" s="132">
        <f t="shared" si="12"/>
        <v>190896.06</v>
      </c>
      <c r="H81" s="127">
        <f t="shared" si="13"/>
        <v>1.250574958626864E-2</v>
      </c>
      <c r="I81" s="76"/>
      <c r="K81" s="91"/>
      <c r="L81" s="91"/>
      <c r="BK81" s="93"/>
    </row>
    <row r="82" spans="1:64" s="89" customFormat="1" ht="16.2" thickBot="1" x14ac:dyDescent="0.35">
      <c r="A82" s="72"/>
      <c r="B82" s="94" t="s">
        <v>94</v>
      </c>
      <c r="C82" s="95">
        <f>SUM(C43:C81)</f>
        <v>1898428</v>
      </c>
      <c r="D82" s="96">
        <f t="shared" si="9"/>
        <v>0.13182954685442147</v>
      </c>
      <c r="E82" s="97">
        <f t="shared" si="10"/>
        <v>158202.32999999999</v>
      </c>
      <c r="F82" s="125">
        <f t="shared" si="11"/>
        <v>37968.559999999998</v>
      </c>
      <c r="G82" s="131">
        <f>SUM(G43:G81)</f>
        <v>1945838.9699999993</v>
      </c>
      <c r="H82" s="98">
        <f>SUM(H43:H81)</f>
        <v>0.12747342660724847</v>
      </c>
      <c r="I82" s="76"/>
      <c r="K82" s="91"/>
      <c r="L82" s="91"/>
      <c r="BK82" s="93"/>
    </row>
    <row r="83" spans="1:64" s="89" customFormat="1" ht="16.2" thickBot="1" x14ac:dyDescent="0.35">
      <c r="A83" s="31"/>
      <c r="B83" s="99" t="s">
        <v>95</v>
      </c>
      <c r="C83" s="100">
        <f>C39+C82</f>
        <v>14195584</v>
      </c>
      <c r="D83" s="101">
        <f t="shared" si="9"/>
        <v>0.98576159119749374</v>
      </c>
      <c r="E83" s="97">
        <f t="shared" si="10"/>
        <v>1182965.33</v>
      </c>
      <c r="F83" s="125">
        <f t="shared" si="11"/>
        <v>283911.67999999999</v>
      </c>
      <c r="G83" s="131">
        <f>G82+G39</f>
        <v>14833962.309999999</v>
      </c>
      <c r="H83" s="101">
        <f>G83/G18</f>
        <v>0.9717844256241176</v>
      </c>
      <c r="I83" s="76"/>
      <c r="K83" s="91"/>
      <c r="L83" s="91"/>
      <c r="BK83" s="93"/>
    </row>
    <row r="84" spans="1:64" s="89" customFormat="1" ht="16.2" thickBot="1" x14ac:dyDescent="0.35">
      <c r="A84" s="31"/>
      <c r="B84" s="102" t="s">
        <v>96</v>
      </c>
      <c r="C84" s="103">
        <f>C18-C83</f>
        <v>205042</v>
      </c>
      <c r="D84" s="104">
        <f t="shared" si="9"/>
        <v>1.4238408802506224E-2</v>
      </c>
      <c r="E84" s="97">
        <f t="shared" si="10"/>
        <v>17086.830000000002</v>
      </c>
      <c r="F84" s="125">
        <f t="shared" si="11"/>
        <v>4100.84</v>
      </c>
      <c r="G84" s="131">
        <f>G18-G83</f>
        <v>430701.25000000186</v>
      </c>
      <c r="H84" s="104">
        <f>G84/G18</f>
        <v>2.8215574375882402E-2</v>
      </c>
      <c r="I84" s="76"/>
      <c r="K84" s="91"/>
      <c r="L84" s="91"/>
      <c r="BK84" s="93"/>
    </row>
    <row r="85" spans="1:64" s="89" customFormat="1" x14ac:dyDescent="0.3">
      <c r="A85" s="31"/>
      <c r="B85" s="105" t="s">
        <v>97</v>
      </c>
      <c r="C85" s="106">
        <v>0</v>
      </c>
      <c r="D85" s="107">
        <f t="shared" si="9"/>
        <v>0</v>
      </c>
      <c r="E85" s="108">
        <f t="shared" si="10"/>
        <v>0</v>
      </c>
      <c r="F85" s="109">
        <f>IF($A$43="fixed",C85*$M$4)</f>
        <v>0</v>
      </c>
      <c r="G85" s="130">
        <f>C85+F85</f>
        <v>0</v>
      </c>
      <c r="H85" s="56">
        <f t="shared" ref="H85:H91" si="14">IF($G$18&gt;0,G85/$G$18,0)</f>
        <v>0</v>
      </c>
      <c r="I85" s="76"/>
      <c r="K85" s="91"/>
      <c r="L85" s="91"/>
      <c r="BK85" s="93"/>
    </row>
    <row r="86" spans="1:64" s="89" customFormat="1" x14ac:dyDescent="0.3">
      <c r="A86" s="72"/>
      <c r="B86" s="110" t="s">
        <v>88</v>
      </c>
      <c r="C86" s="111">
        <v>0</v>
      </c>
      <c r="D86" s="107">
        <f t="shared" si="9"/>
        <v>0</v>
      </c>
      <c r="E86" s="108">
        <f t="shared" si="10"/>
        <v>0</v>
      </c>
      <c r="F86" s="112">
        <f t="shared" si="11"/>
        <v>0</v>
      </c>
      <c r="G86" s="130">
        <f t="shared" ref="G86:G91" si="15">C86+F86</f>
        <v>0</v>
      </c>
      <c r="H86" s="56">
        <f t="shared" si="14"/>
        <v>0</v>
      </c>
      <c r="I86" s="76"/>
      <c r="K86" s="91"/>
      <c r="L86" s="91"/>
      <c r="BK86" s="93"/>
    </row>
    <row r="87" spans="1:64" s="89" customFormat="1" x14ac:dyDescent="0.3">
      <c r="A87" s="72"/>
      <c r="B87" s="110" t="s">
        <v>98</v>
      </c>
      <c r="C87" s="111">
        <v>0</v>
      </c>
      <c r="D87" s="107">
        <f t="shared" si="9"/>
        <v>0</v>
      </c>
      <c r="E87" s="108">
        <f t="shared" si="10"/>
        <v>0</v>
      </c>
      <c r="F87" s="112">
        <f t="shared" si="11"/>
        <v>0</v>
      </c>
      <c r="G87" s="130">
        <f t="shared" si="15"/>
        <v>0</v>
      </c>
      <c r="H87" s="56">
        <f t="shared" si="14"/>
        <v>0</v>
      </c>
      <c r="I87" s="76"/>
      <c r="K87" s="91"/>
      <c r="L87" s="91"/>
      <c r="BK87" s="93"/>
    </row>
    <row r="88" spans="1:64" s="89" customFormat="1" x14ac:dyDescent="0.3">
      <c r="A88" s="72"/>
      <c r="B88" s="110" t="s">
        <v>99</v>
      </c>
      <c r="C88" s="111">
        <v>0</v>
      </c>
      <c r="D88" s="107">
        <f t="shared" si="9"/>
        <v>0</v>
      </c>
      <c r="E88" s="108">
        <f t="shared" si="10"/>
        <v>0</v>
      </c>
      <c r="F88" s="112">
        <f t="shared" si="11"/>
        <v>0</v>
      </c>
      <c r="G88" s="130">
        <f t="shared" si="15"/>
        <v>0</v>
      </c>
      <c r="H88" s="56">
        <f t="shared" si="14"/>
        <v>0</v>
      </c>
      <c r="I88" s="76"/>
      <c r="K88" s="91"/>
      <c r="L88" s="91"/>
      <c r="BK88" s="93"/>
    </row>
    <row r="89" spans="1:64" s="89" customFormat="1" ht="14.4" x14ac:dyDescent="0.3">
      <c r="A89" s="72"/>
      <c r="B89" s="110" t="s">
        <v>100</v>
      </c>
      <c r="C89" s="113">
        <f>SUM(C85:C88)</f>
        <v>0</v>
      </c>
      <c r="D89" s="107">
        <f t="shared" ref="D89:D93" si="16">SUM(C89/$C$18)</f>
        <v>0</v>
      </c>
      <c r="E89" s="108">
        <f t="shared" si="10"/>
        <v>0</v>
      </c>
      <c r="F89" s="112">
        <f t="shared" si="11"/>
        <v>0</v>
      </c>
      <c r="G89" s="130">
        <f t="shared" si="15"/>
        <v>0</v>
      </c>
      <c r="H89" s="56">
        <f t="shared" si="14"/>
        <v>0</v>
      </c>
      <c r="I89" s="76"/>
      <c r="K89" s="91"/>
      <c r="L89" s="91"/>
      <c r="BK89" s="93"/>
    </row>
    <row r="90" spans="1:64" s="89" customFormat="1" ht="14.55" customHeight="1" x14ac:dyDescent="0.3">
      <c r="A90" s="72"/>
      <c r="B90" s="110" t="s">
        <v>101</v>
      </c>
      <c r="C90" s="111">
        <v>0</v>
      </c>
      <c r="D90" s="107">
        <f t="shared" si="16"/>
        <v>0</v>
      </c>
      <c r="E90" s="108">
        <f t="shared" si="10"/>
        <v>0</v>
      </c>
      <c r="F90" s="112">
        <f t="shared" si="11"/>
        <v>0</v>
      </c>
      <c r="G90" s="130">
        <f t="shared" si="15"/>
        <v>0</v>
      </c>
      <c r="H90" s="56">
        <f t="shared" si="14"/>
        <v>0</v>
      </c>
      <c r="I90" s="76"/>
      <c r="K90" s="91"/>
      <c r="L90" s="91"/>
      <c r="BK90" s="93"/>
    </row>
    <row r="91" spans="1:64" ht="16.2" thickBot="1" x14ac:dyDescent="0.35">
      <c r="A91" s="72"/>
      <c r="B91" s="114" t="s">
        <v>102</v>
      </c>
      <c r="C91" s="133">
        <f>C89-C90</f>
        <v>0</v>
      </c>
      <c r="D91" s="134">
        <f t="shared" si="16"/>
        <v>0</v>
      </c>
      <c r="E91" s="135">
        <f t="shared" ref="E91" si="17">ROUND(C91/$C$11,2)</f>
        <v>0</v>
      </c>
      <c r="F91" s="136">
        <f t="shared" si="11"/>
        <v>0</v>
      </c>
      <c r="G91" s="137">
        <f t="shared" si="15"/>
        <v>0</v>
      </c>
      <c r="H91" s="56">
        <f t="shared" si="14"/>
        <v>0</v>
      </c>
      <c r="I91" s="76"/>
      <c r="J91"/>
      <c r="K91" s="76"/>
      <c r="L91" s="33"/>
      <c r="BK91" s="115"/>
      <c r="BL91"/>
    </row>
    <row r="92" spans="1:64" ht="16.2" thickBot="1" x14ac:dyDescent="0.35">
      <c r="A92" s="31"/>
      <c r="B92" s="110" t="s">
        <v>103</v>
      </c>
      <c r="C92" s="62">
        <f>SUM(C84+C91)</f>
        <v>205042</v>
      </c>
      <c r="D92" s="101">
        <f t="shared" si="9"/>
        <v>1.4238408802506224E-2</v>
      </c>
      <c r="E92" s="138">
        <f>E84+E91</f>
        <v>17086.830000000002</v>
      </c>
      <c r="F92" s="125">
        <f t="shared" si="11"/>
        <v>4100.84</v>
      </c>
      <c r="G92" s="131">
        <f>G18-(G83+G91)</f>
        <v>430701.25000000186</v>
      </c>
      <c r="H92" s="101">
        <f>G92/G18</f>
        <v>2.8215574375882402E-2</v>
      </c>
      <c r="I92" s="76"/>
      <c r="J92"/>
      <c r="K92" s="76"/>
      <c r="L92" s="33"/>
      <c r="BK92" s="115"/>
      <c r="BL92"/>
    </row>
    <row r="93" spans="1:64" ht="16.2" thickBot="1" x14ac:dyDescent="0.35">
      <c r="B93" s="116" t="s">
        <v>104</v>
      </c>
      <c r="C93" s="139">
        <f>SUM(C92*M2)</f>
        <v>45109.24</v>
      </c>
      <c r="D93" s="134">
        <f t="shared" si="16"/>
        <v>3.1324499365513693E-3</v>
      </c>
      <c r="E93" s="140">
        <f>C93/12</f>
        <v>3759.103333333333</v>
      </c>
      <c r="F93" s="141">
        <f>IF($A$43="fixed",E93*$M$4)</f>
        <v>75.182066666666657</v>
      </c>
      <c r="G93" s="142">
        <f>G92*M2</f>
        <v>94754.275000000416</v>
      </c>
      <c r="H93" s="150">
        <f>SUM(G93/$G$18)</f>
        <v>6.2074263626941293E-3</v>
      </c>
      <c r="I93" s="76"/>
      <c r="J93"/>
      <c r="K93" s="10"/>
      <c r="L93" s="33"/>
      <c r="BK93" s="115"/>
      <c r="BL93"/>
    </row>
    <row r="94" spans="1:64" ht="16.2" thickBot="1" x14ac:dyDescent="0.35">
      <c r="B94" s="59" t="s">
        <v>105</v>
      </c>
      <c r="C94" s="62">
        <f>SUM(C92-C93)</f>
        <v>159932.76</v>
      </c>
      <c r="D94" s="81">
        <f>SUM(C94/C18)</f>
        <v>1.1105958865954856E-2</v>
      </c>
      <c r="E94" s="149">
        <f>C94/12</f>
        <v>13327.730000000001</v>
      </c>
      <c r="F94" s="131">
        <f>F92-F93</f>
        <v>4025.6579333333334</v>
      </c>
      <c r="G94" s="131">
        <f>G92-G93</f>
        <v>335946.97500000143</v>
      </c>
      <c r="H94" s="81">
        <f>G94/G18</f>
        <v>2.2008148013188272E-2</v>
      </c>
      <c r="I94" s="76"/>
      <c r="J94"/>
      <c r="K94" s="38"/>
      <c r="L94"/>
      <c r="BK94" s="115"/>
      <c r="BL94"/>
    </row>
    <row r="95" spans="1:64" x14ac:dyDescent="0.3">
      <c r="B95" s="116"/>
      <c r="C95" s="118"/>
      <c r="D95" s="119"/>
      <c r="E95" s="143" t="s">
        <v>106</v>
      </c>
      <c r="F95" s="144">
        <f>G39</f>
        <v>12888123.34</v>
      </c>
      <c r="G95" s="146">
        <f>G39/G18</f>
        <v>0.84431099901686923</v>
      </c>
      <c r="H95" s="76"/>
      <c r="I95"/>
      <c r="J95" s="38"/>
      <c r="L95"/>
      <c r="BJ95" s="115"/>
      <c r="BL95"/>
    </row>
    <row r="96" spans="1:64" x14ac:dyDescent="0.3">
      <c r="B96" s="116"/>
      <c r="C96" s="118"/>
      <c r="D96" s="119"/>
      <c r="E96" s="120" t="s">
        <v>107</v>
      </c>
      <c r="F96" s="145">
        <f>G40</f>
        <v>2376540.2200000007</v>
      </c>
      <c r="G96" s="147">
        <f>G40/G18</f>
        <v>0.15568900098313079</v>
      </c>
      <c r="H96" s="121"/>
      <c r="I96"/>
      <c r="J96" s="38"/>
      <c r="L96"/>
      <c r="BJ96" s="115"/>
      <c r="BL96"/>
    </row>
    <row r="97" spans="2:65" x14ac:dyDescent="0.3">
      <c r="B97" s="116"/>
      <c r="C97" s="118"/>
      <c r="D97" s="119"/>
      <c r="E97" s="120" t="s">
        <v>108</v>
      </c>
      <c r="F97" s="147">
        <f>G82/G18</f>
        <v>0.12747342660724842</v>
      </c>
      <c r="G97" s="121"/>
      <c r="H97" s="122"/>
      <c r="I97" s="122"/>
      <c r="J97" s="122"/>
      <c r="K97" s="122"/>
      <c r="L97" s="122"/>
      <c r="M97" s="122"/>
      <c r="BI97" s="115"/>
      <c r="BL97"/>
    </row>
    <row r="98" spans="2:65" x14ac:dyDescent="0.3">
      <c r="B98" s="116"/>
      <c r="C98" s="118"/>
      <c r="D98" s="119"/>
      <c r="E98" s="120" t="s">
        <v>109</v>
      </c>
      <c r="F98" s="147">
        <f>G82/G39</f>
        <v>0.1509792324814917</v>
      </c>
      <c r="G98" s="121"/>
      <c r="H98"/>
      <c r="I98" s="38"/>
      <c r="J98"/>
      <c r="L98"/>
      <c r="BI98" s="115"/>
      <c r="BL98"/>
    </row>
    <row r="99" spans="2:65" x14ac:dyDescent="0.3">
      <c r="B99" s="116"/>
      <c r="C99" s="118"/>
      <c r="D99" s="119"/>
      <c r="E99" s="120" t="s">
        <v>116</v>
      </c>
      <c r="F99" s="148">
        <f>G92</f>
        <v>430701.25000000186</v>
      </c>
      <c r="G99" s="147">
        <f>H92</f>
        <v>2.8215574375882402E-2</v>
      </c>
      <c r="I99"/>
      <c r="J99" s="38"/>
      <c r="L99"/>
      <c r="BJ99" s="115"/>
      <c r="BL99"/>
    </row>
    <row r="100" spans="2:65" x14ac:dyDescent="0.3">
      <c r="B100" s="116"/>
      <c r="C100" s="118"/>
      <c r="D100" s="119"/>
      <c r="E100" s="120" t="s">
        <v>115</v>
      </c>
      <c r="F100" s="148">
        <f>G94</f>
        <v>335946.97500000143</v>
      </c>
      <c r="G100" s="147">
        <f>H94/H18</f>
        <v>2.2008148013188272E-2</v>
      </c>
      <c r="H100" s="12"/>
      <c r="I100" s="123"/>
      <c r="J100" s="119"/>
      <c r="K100" s="10"/>
      <c r="L100"/>
      <c r="M100" s="38"/>
      <c r="BL100"/>
      <c r="BM100" s="115"/>
    </row>
    <row r="101" spans="2:65" x14ac:dyDescent="0.3">
      <c r="B101" s="116"/>
      <c r="C101" s="118"/>
      <c r="D101" s="119"/>
      <c r="E101" s="12"/>
      <c r="F101" s="12"/>
      <c r="G101" s="12"/>
      <c r="H101" s="123"/>
      <c r="I101" s="119"/>
    </row>
    <row r="102" spans="2:65" x14ac:dyDescent="0.3">
      <c r="B102" s="116"/>
      <c r="E102" s="12"/>
    </row>
    <row r="103" spans="2:65" x14ac:dyDescent="0.3">
      <c r="B103" s="116"/>
    </row>
    <row r="104" spans="2:65" x14ac:dyDescent="0.3">
      <c r="B104" s="116"/>
    </row>
    <row r="105" spans="2:65" x14ac:dyDescent="0.3">
      <c r="B105" s="116"/>
    </row>
    <row r="106" spans="2:65" x14ac:dyDescent="0.3">
      <c r="B106" s="116"/>
    </row>
    <row r="107" spans="2:65" x14ac:dyDescent="0.3">
      <c r="B107" s="116"/>
    </row>
    <row r="108" spans="2:65" x14ac:dyDescent="0.3">
      <c r="B108" s="116"/>
    </row>
    <row r="109" spans="2:65" x14ac:dyDescent="0.3">
      <c r="B109" s="116"/>
    </row>
    <row r="110" spans="2:65" x14ac:dyDescent="0.3">
      <c r="B110" s="116"/>
    </row>
    <row r="111" spans="2:65" x14ac:dyDescent="0.3">
      <c r="B111" s="116"/>
    </row>
    <row r="112" spans="2:65" x14ac:dyDescent="0.3">
      <c r="B112" s="116"/>
    </row>
    <row r="113" spans="2:2" x14ac:dyDescent="0.3">
      <c r="B113" s="116"/>
    </row>
    <row r="114" spans="2:2" x14ac:dyDescent="0.3">
      <c r="B114" s="116"/>
    </row>
    <row r="115" spans="2:2" x14ac:dyDescent="0.3">
      <c r="B115" s="116"/>
    </row>
    <row r="116" spans="2:2" x14ac:dyDescent="0.3">
      <c r="B116" s="116"/>
    </row>
    <row r="117" spans="2:2" x14ac:dyDescent="0.3">
      <c r="B117" s="116"/>
    </row>
    <row r="118" spans="2:2" x14ac:dyDescent="0.3">
      <c r="B118" s="116"/>
    </row>
    <row r="119" spans="2:2" x14ac:dyDescent="0.3">
      <c r="B119" s="116"/>
    </row>
    <row r="120" spans="2:2" x14ac:dyDescent="0.3">
      <c r="B120" s="116"/>
    </row>
    <row r="121" spans="2:2" x14ac:dyDescent="0.3">
      <c r="B121" s="116"/>
    </row>
    <row r="122" spans="2:2" x14ac:dyDescent="0.3">
      <c r="B122" s="116"/>
    </row>
    <row r="123" spans="2:2" x14ac:dyDescent="0.3">
      <c r="B123" s="116"/>
    </row>
    <row r="124" spans="2:2" x14ac:dyDescent="0.3">
      <c r="B124" s="116"/>
    </row>
    <row r="125" spans="2:2" x14ac:dyDescent="0.3">
      <c r="B125" s="116"/>
    </row>
    <row r="126" spans="2:2" x14ac:dyDescent="0.3">
      <c r="B126" s="116"/>
    </row>
    <row r="127" spans="2:2" x14ac:dyDescent="0.3">
      <c r="B127" s="116"/>
    </row>
    <row r="128" spans="2:2" x14ac:dyDescent="0.3">
      <c r="B128" s="116"/>
    </row>
    <row r="129" spans="2:2" x14ac:dyDescent="0.3">
      <c r="B129" s="116"/>
    </row>
    <row r="130" spans="2:2" x14ac:dyDescent="0.3">
      <c r="B130" s="116"/>
    </row>
    <row r="131" spans="2:2" x14ac:dyDescent="0.3">
      <c r="B131" s="116"/>
    </row>
    <row r="132" spans="2:2" x14ac:dyDescent="0.3">
      <c r="B132" s="116"/>
    </row>
    <row r="133" spans="2:2" x14ac:dyDescent="0.3">
      <c r="B133" s="116"/>
    </row>
    <row r="134" spans="2:2" x14ac:dyDescent="0.3">
      <c r="B134" s="116"/>
    </row>
    <row r="135" spans="2:2" x14ac:dyDescent="0.3">
      <c r="B135" s="116"/>
    </row>
    <row r="136" spans="2:2" x14ac:dyDescent="0.3">
      <c r="B136" s="116"/>
    </row>
    <row r="137" spans="2:2" x14ac:dyDescent="0.3">
      <c r="B137" s="116"/>
    </row>
    <row r="138" spans="2:2" x14ac:dyDescent="0.3">
      <c r="B138" s="116"/>
    </row>
    <row r="139" spans="2:2" x14ac:dyDescent="0.3">
      <c r="B139" s="116"/>
    </row>
    <row r="140" spans="2:2" x14ac:dyDescent="0.3">
      <c r="B140" s="116"/>
    </row>
    <row r="141" spans="2:2" x14ac:dyDescent="0.3">
      <c r="B141" s="116"/>
    </row>
    <row r="142" spans="2:2" x14ac:dyDescent="0.3">
      <c r="B142" s="116"/>
    </row>
    <row r="143" spans="2:2" x14ac:dyDescent="0.3">
      <c r="B143" s="116"/>
    </row>
    <row r="144" spans="2:2" x14ac:dyDescent="0.3">
      <c r="B144" s="116"/>
    </row>
    <row r="145" spans="2:2" x14ac:dyDescent="0.3">
      <c r="B145" s="116"/>
    </row>
    <row r="146" spans="2:2" x14ac:dyDescent="0.3">
      <c r="B146" s="116"/>
    </row>
    <row r="147" spans="2:2" x14ac:dyDescent="0.3">
      <c r="B147" s="116"/>
    </row>
    <row r="148" spans="2:2" x14ac:dyDescent="0.3">
      <c r="B148" s="116"/>
    </row>
    <row r="149" spans="2:2" x14ac:dyDescent="0.3">
      <c r="B149" s="116"/>
    </row>
    <row r="150" spans="2:2" x14ac:dyDescent="0.3">
      <c r="B150" s="116"/>
    </row>
    <row r="151" spans="2:2" x14ac:dyDescent="0.3">
      <c r="B151" s="116"/>
    </row>
    <row r="152" spans="2:2" x14ac:dyDescent="0.3">
      <c r="B152" s="116"/>
    </row>
    <row r="153" spans="2:2" x14ac:dyDescent="0.3">
      <c r="B153" s="116"/>
    </row>
    <row r="154" spans="2:2" x14ac:dyDescent="0.3">
      <c r="B154" s="116"/>
    </row>
    <row r="155" spans="2:2" x14ac:dyDescent="0.3">
      <c r="B155" s="116"/>
    </row>
    <row r="156" spans="2:2" x14ac:dyDescent="0.3">
      <c r="B156" s="116"/>
    </row>
    <row r="157" spans="2:2" x14ac:dyDescent="0.3">
      <c r="B157" s="116"/>
    </row>
    <row r="158" spans="2:2" x14ac:dyDescent="0.3">
      <c r="B158" s="116"/>
    </row>
    <row r="159" spans="2:2" x14ac:dyDescent="0.3">
      <c r="B159" s="116"/>
    </row>
    <row r="160" spans="2:2" x14ac:dyDescent="0.3">
      <c r="B160" s="116"/>
    </row>
    <row r="161" spans="2:2" x14ac:dyDescent="0.3">
      <c r="B161" s="116"/>
    </row>
    <row r="162" spans="2:2" x14ac:dyDescent="0.3">
      <c r="B162" s="116"/>
    </row>
    <row r="163" spans="2:2" x14ac:dyDescent="0.3">
      <c r="B163" s="116"/>
    </row>
    <row r="164" spans="2:2" x14ac:dyDescent="0.3">
      <c r="B164" s="116"/>
    </row>
    <row r="165" spans="2:2" x14ac:dyDescent="0.3">
      <c r="B165" s="116"/>
    </row>
    <row r="166" spans="2:2" x14ac:dyDescent="0.3">
      <c r="B166" s="116"/>
    </row>
    <row r="167" spans="2:2" x14ac:dyDescent="0.3">
      <c r="B167" s="116"/>
    </row>
    <row r="168" spans="2:2" x14ac:dyDescent="0.3">
      <c r="B168" s="116"/>
    </row>
    <row r="169" spans="2:2" x14ac:dyDescent="0.3">
      <c r="B169" s="116"/>
    </row>
    <row r="170" spans="2:2" x14ac:dyDescent="0.3">
      <c r="B170" s="116"/>
    </row>
    <row r="171" spans="2:2" x14ac:dyDescent="0.3">
      <c r="B171" s="116"/>
    </row>
    <row r="172" spans="2:2" x14ac:dyDescent="0.3">
      <c r="B172" s="116"/>
    </row>
    <row r="173" spans="2:2" x14ac:dyDescent="0.3">
      <c r="B173" s="116"/>
    </row>
    <row r="174" spans="2:2" x14ac:dyDescent="0.3">
      <c r="B174" s="116"/>
    </row>
    <row r="175" spans="2:2" x14ac:dyDescent="0.3">
      <c r="B175" s="116"/>
    </row>
    <row r="176" spans="2:2" x14ac:dyDescent="0.3">
      <c r="B176" s="116"/>
    </row>
    <row r="177" spans="2:2" x14ac:dyDescent="0.3">
      <c r="B177" s="116"/>
    </row>
    <row r="178" spans="2:2" x14ac:dyDescent="0.3">
      <c r="B178" s="116"/>
    </row>
    <row r="179" spans="2:2" x14ac:dyDescent="0.3">
      <c r="B179" s="116"/>
    </row>
    <row r="180" spans="2:2" x14ac:dyDescent="0.3">
      <c r="B180" s="116"/>
    </row>
    <row r="181" spans="2:2" x14ac:dyDescent="0.3">
      <c r="B181" s="116"/>
    </row>
    <row r="182" spans="2:2" x14ac:dyDescent="0.3">
      <c r="B182" s="116"/>
    </row>
    <row r="183" spans="2:2" x14ac:dyDescent="0.3">
      <c r="B183" s="116"/>
    </row>
    <row r="184" spans="2:2" x14ac:dyDescent="0.3">
      <c r="B184" s="116"/>
    </row>
    <row r="185" spans="2:2" x14ac:dyDescent="0.3">
      <c r="B185" s="116"/>
    </row>
    <row r="186" spans="2:2" x14ac:dyDescent="0.3">
      <c r="B186" s="116"/>
    </row>
    <row r="187" spans="2:2" x14ac:dyDescent="0.3">
      <c r="B187" s="116"/>
    </row>
    <row r="188" spans="2:2" x14ac:dyDescent="0.3">
      <c r="B188" s="116"/>
    </row>
    <row r="189" spans="2:2" x14ac:dyDescent="0.3">
      <c r="B189" s="116"/>
    </row>
    <row r="190" spans="2:2" x14ac:dyDescent="0.3">
      <c r="B190" s="116"/>
    </row>
    <row r="191" spans="2:2" x14ac:dyDescent="0.3">
      <c r="B191" s="116"/>
    </row>
    <row r="192" spans="2:2" x14ac:dyDescent="0.3">
      <c r="B192" s="116"/>
    </row>
    <row r="193" spans="2:2" x14ac:dyDescent="0.3">
      <c r="B193" s="116"/>
    </row>
    <row r="194" spans="2:2" x14ac:dyDescent="0.3">
      <c r="B194" s="116"/>
    </row>
    <row r="195" spans="2:2" x14ac:dyDescent="0.3">
      <c r="B195" s="116"/>
    </row>
    <row r="196" spans="2:2" x14ac:dyDescent="0.3">
      <c r="B196" s="116"/>
    </row>
    <row r="197" spans="2:2" x14ac:dyDescent="0.3">
      <c r="B197" s="116"/>
    </row>
    <row r="198" spans="2:2" x14ac:dyDescent="0.3">
      <c r="B198" s="116"/>
    </row>
    <row r="199" spans="2:2" x14ac:dyDescent="0.3">
      <c r="B199" s="116"/>
    </row>
    <row r="200" spans="2:2" x14ac:dyDescent="0.3">
      <c r="B200" s="116"/>
    </row>
    <row r="201" spans="2:2" x14ac:dyDescent="0.3">
      <c r="B201" s="116"/>
    </row>
  </sheetData>
  <mergeCells count="8">
    <mergeCell ref="L1:M1"/>
    <mergeCell ref="B2:B8"/>
    <mergeCell ref="C2:H2"/>
    <mergeCell ref="C4:E4"/>
    <mergeCell ref="C5:E5"/>
    <mergeCell ref="C6:E6"/>
    <mergeCell ref="C7:E7"/>
    <mergeCell ref="C8:E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AC30-05E9-47C0-A8E4-D7F5B0F563F8}">
  <dimension ref="A1:S76"/>
  <sheetViews>
    <sheetView tabSelected="1" topLeftCell="A25" workbookViewId="0">
      <selection activeCell="A34" sqref="A34"/>
    </sheetView>
  </sheetViews>
  <sheetFormatPr defaultRowHeight="14.4" x14ac:dyDescent="0.3"/>
  <cols>
    <col min="1" max="1" width="48.77734375" bestFit="1" customWidth="1"/>
    <col min="2" max="2" width="18" bestFit="1" customWidth="1"/>
    <col min="3" max="3" width="10.5546875" customWidth="1"/>
    <col min="4" max="4" width="15.21875" bestFit="1" customWidth="1"/>
    <col min="5" max="5" width="22.44140625" customWidth="1"/>
    <col min="6" max="6" width="13.77734375" customWidth="1"/>
    <col min="7" max="7" width="10.77734375" customWidth="1"/>
    <col min="8" max="8" width="11.21875" customWidth="1"/>
    <col min="9" max="9" width="11.5546875" customWidth="1"/>
    <col min="10" max="10" width="11.21875" customWidth="1"/>
    <col min="11" max="11" width="11.44140625" customWidth="1"/>
    <col min="12" max="13" width="11.21875" customWidth="1"/>
    <col min="14" max="14" width="12.6640625" customWidth="1"/>
    <col min="15" max="15" width="11.33203125" customWidth="1"/>
    <col min="16" max="16" width="12.21875" customWidth="1"/>
    <col min="17" max="17" width="9.77734375" customWidth="1"/>
    <col min="18" max="18" width="11" customWidth="1"/>
    <col min="19" max="19" width="11.77734375" customWidth="1"/>
  </cols>
  <sheetData>
    <row r="1" spans="1:19" ht="16.05" customHeight="1" thickBot="1" x14ac:dyDescent="0.35">
      <c r="A1" s="35" t="s">
        <v>15</v>
      </c>
      <c r="B1" s="36">
        <v>12</v>
      </c>
      <c r="C1" s="9"/>
      <c r="D1" s="37"/>
    </row>
    <row r="2" spans="1:19" ht="16.2" thickBot="1" x14ac:dyDescent="0.35">
      <c r="A2" s="39"/>
      <c r="B2" s="36" t="s">
        <v>16</v>
      </c>
      <c r="C2" s="40" t="s">
        <v>17</v>
      </c>
      <c r="D2" s="41" t="s">
        <v>5</v>
      </c>
      <c r="E2" s="154" t="s">
        <v>117</v>
      </c>
      <c r="F2" s="154" t="s">
        <v>118</v>
      </c>
      <c r="G2" s="154" t="s">
        <v>119</v>
      </c>
      <c r="H2" s="154" t="s">
        <v>120</v>
      </c>
      <c r="I2" s="154" t="s">
        <v>121</v>
      </c>
      <c r="J2" s="154" t="s">
        <v>122</v>
      </c>
      <c r="K2" s="154" t="s">
        <v>123</v>
      </c>
      <c r="L2" s="154" t="s">
        <v>124</v>
      </c>
      <c r="M2" s="154" t="s">
        <v>125</v>
      </c>
      <c r="N2" s="154" t="s">
        <v>126</v>
      </c>
      <c r="O2" s="154" t="s">
        <v>127</v>
      </c>
      <c r="P2" s="154" t="s">
        <v>128</v>
      </c>
    </row>
    <row r="3" spans="1:19" ht="16.2" thickBot="1" x14ac:dyDescent="0.35">
      <c r="A3" s="44" t="s">
        <v>20</v>
      </c>
      <c r="B3" s="45"/>
      <c r="C3" s="46" t="s">
        <v>21</v>
      </c>
      <c r="D3" s="47" t="s">
        <v>22</v>
      </c>
    </row>
    <row r="4" spans="1:19" ht="15.6" x14ac:dyDescent="0.3">
      <c r="A4" s="52" t="s">
        <v>26</v>
      </c>
      <c r="B4" s="53">
        <v>9340605</v>
      </c>
      <c r="C4" s="54">
        <f>SUM(B4/$B$9)</f>
        <v>0.64862492783299841</v>
      </c>
      <c r="D4" s="55">
        <f ca="1">ROUND(B4/$C$13,2)</f>
        <v>778383.75</v>
      </c>
      <c r="E4" s="12" t="s">
        <v>130</v>
      </c>
      <c r="F4" s="12" t="s">
        <v>117</v>
      </c>
      <c r="G4" s="12" t="s">
        <v>118</v>
      </c>
      <c r="H4" s="12" t="s">
        <v>119</v>
      </c>
      <c r="I4" s="12" t="s">
        <v>120</v>
      </c>
      <c r="J4" s="12" t="s">
        <v>121</v>
      </c>
      <c r="K4" s="12" t="s">
        <v>122</v>
      </c>
      <c r="L4" s="12" t="s">
        <v>123</v>
      </c>
      <c r="M4" s="12" t="s">
        <v>124</v>
      </c>
      <c r="N4" s="12" t="s">
        <v>125</v>
      </c>
      <c r="O4" s="12" t="s">
        <v>126</v>
      </c>
      <c r="P4" s="12" t="s">
        <v>127</v>
      </c>
      <c r="Q4" s="12" t="s">
        <v>128</v>
      </c>
      <c r="R4" s="12" t="s">
        <v>131</v>
      </c>
      <c r="S4" s="12" t="s">
        <v>132</v>
      </c>
    </row>
    <row r="5" spans="1:19" ht="15.6" x14ac:dyDescent="0.3">
      <c r="A5" s="57" t="s">
        <v>27</v>
      </c>
      <c r="B5" s="53">
        <v>2600802</v>
      </c>
      <c r="C5" s="54">
        <f t="shared" ref="C5:C8" si="0">SUM(B5/$B$9)</f>
        <v>0.18060339876891462</v>
      </c>
      <c r="D5" s="55">
        <f ca="1">ROUND(B5/$C$13,2)</f>
        <v>216733.5</v>
      </c>
      <c r="E5" s="12" t="s">
        <v>26</v>
      </c>
      <c r="F5" s="162">
        <v>678696.8</v>
      </c>
      <c r="G5" s="162">
        <v>674436.66</v>
      </c>
      <c r="H5" s="162">
        <v>808642.20000000007</v>
      </c>
      <c r="I5" s="162">
        <v>822231.4</v>
      </c>
      <c r="J5" s="162">
        <v>909671.8600000001</v>
      </c>
      <c r="K5" s="162">
        <v>795710.20000000007</v>
      </c>
      <c r="L5" s="162">
        <v>831974.92</v>
      </c>
      <c r="M5" s="162">
        <v>1075646.6600000001</v>
      </c>
      <c r="N5" s="162">
        <v>919248.96000000008</v>
      </c>
      <c r="O5" s="162">
        <v>773141.74</v>
      </c>
      <c r="P5" s="162">
        <v>814444.64</v>
      </c>
      <c r="Q5" s="162">
        <v>797199.5</v>
      </c>
      <c r="R5" s="162">
        <v>9901045.540000001</v>
      </c>
      <c r="S5" s="162">
        <v>825087.12833333341</v>
      </c>
    </row>
    <row r="6" spans="1:19" ht="15.6" x14ac:dyDescent="0.3">
      <c r="A6" s="57" t="s">
        <v>28</v>
      </c>
      <c r="B6" s="53">
        <v>2112185</v>
      </c>
      <c r="C6" s="54">
        <f t="shared" si="0"/>
        <v>0.14667313768165355</v>
      </c>
      <c r="D6" s="55">
        <f ca="1">ROUND(B6/$C$13,2)</f>
        <v>176015.42</v>
      </c>
      <c r="E6" s="12" t="s">
        <v>133</v>
      </c>
      <c r="F6" s="162">
        <v>244311.90000000002</v>
      </c>
      <c r="G6" s="162">
        <v>242471.25</v>
      </c>
      <c r="H6" s="162">
        <v>326019.75</v>
      </c>
      <c r="I6" s="162">
        <v>208122.6</v>
      </c>
      <c r="J6" s="162">
        <v>245676.90000000002</v>
      </c>
      <c r="K6" s="162">
        <v>273420</v>
      </c>
      <c r="L6" s="162">
        <v>179471.25</v>
      </c>
      <c r="M6" s="162">
        <v>205854.6</v>
      </c>
      <c r="N6" s="162">
        <v>238527.45</v>
      </c>
      <c r="O6" s="162">
        <v>240530.85</v>
      </c>
      <c r="P6" s="162">
        <v>219361.80000000002</v>
      </c>
      <c r="Q6" s="162">
        <v>107147.25</v>
      </c>
      <c r="R6" s="162">
        <v>2730915.6</v>
      </c>
      <c r="S6" s="162">
        <v>227576.30000000002</v>
      </c>
    </row>
    <row r="7" spans="1:19" ht="15.6" x14ac:dyDescent="0.3">
      <c r="A7" s="57" t="s">
        <v>29</v>
      </c>
      <c r="B7" s="58">
        <v>347034</v>
      </c>
      <c r="C7" s="54">
        <f t="shared" si="0"/>
        <v>2.4098535716433438E-2</v>
      </c>
      <c r="D7" s="55">
        <f ca="1">ROUND(B7/$C$13,2)</f>
        <v>28919.5</v>
      </c>
      <c r="E7" s="12" t="s">
        <v>27</v>
      </c>
      <c r="F7" s="162">
        <v>139740.30000000002</v>
      </c>
      <c r="G7" s="162">
        <v>129677.1</v>
      </c>
      <c r="H7" s="162">
        <v>157927.35</v>
      </c>
      <c r="I7" s="162">
        <v>255205.65000000002</v>
      </c>
      <c r="J7" s="162">
        <v>133300.65</v>
      </c>
      <c r="K7" s="162">
        <v>209280.75</v>
      </c>
      <c r="L7" s="162">
        <v>174037.5</v>
      </c>
      <c r="M7" s="162">
        <v>266256.90000000002</v>
      </c>
      <c r="N7" s="162">
        <v>145225.5</v>
      </c>
      <c r="O7" s="162">
        <v>222427.80000000002</v>
      </c>
      <c r="P7" s="162">
        <v>191178.75</v>
      </c>
      <c r="Q7" s="162">
        <v>155371.65</v>
      </c>
      <c r="R7" s="162">
        <v>2179629.9000000004</v>
      </c>
      <c r="S7" s="162">
        <v>181635.82500000004</v>
      </c>
    </row>
    <row r="8" spans="1:19" ht="16.2" thickBot="1" x14ac:dyDescent="0.35">
      <c r="A8" s="57" t="s">
        <v>129</v>
      </c>
      <c r="B8" s="58">
        <v>0</v>
      </c>
      <c r="C8" s="54">
        <f t="shared" si="0"/>
        <v>0</v>
      </c>
      <c r="D8" s="55">
        <f ca="1">ROUND(B8/$C$13,2)</f>
        <v>28919.5</v>
      </c>
      <c r="E8" s="12" t="s">
        <v>129</v>
      </c>
      <c r="F8" s="162">
        <v>0</v>
      </c>
      <c r="G8" s="162">
        <v>0</v>
      </c>
      <c r="H8" s="162">
        <v>0</v>
      </c>
      <c r="I8" s="162">
        <v>2100</v>
      </c>
      <c r="J8" s="162">
        <v>4200</v>
      </c>
      <c r="K8" s="162">
        <v>6300</v>
      </c>
      <c r="L8" s="162">
        <v>8400</v>
      </c>
      <c r="M8" s="162">
        <v>12600</v>
      </c>
      <c r="N8" s="162">
        <v>16800</v>
      </c>
      <c r="O8" s="162">
        <v>23100</v>
      </c>
      <c r="P8" s="162">
        <v>29400</v>
      </c>
      <c r="Q8" s="162">
        <v>37800</v>
      </c>
      <c r="R8" s="162">
        <v>140700</v>
      </c>
      <c r="S8" s="162">
        <v>11725</v>
      </c>
    </row>
    <row r="9" spans="1:19" ht="16.2" thickBot="1" x14ac:dyDescent="0.35">
      <c r="A9" s="59" t="s">
        <v>30</v>
      </c>
      <c r="B9" s="60">
        <f>SUM(B4:B7)</f>
        <v>14400626</v>
      </c>
      <c r="C9" s="61">
        <f ca="1">SUM(B9/$C$20)</f>
        <v>1</v>
      </c>
      <c r="D9" s="62">
        <f ca="1">SUM(D4:D7)</f>
        <v>1200052.17</v>
      </c>
      <c r="E9" s="12" t="s">
        <v>134</v>
      </c>
      <c r="F9" s="162">
        <v>22859.55</v>
      </c>
      <c r="G9" s="162">
        <v>172624.2</v>
      </c>
      <c r="H9" s="162">
        <v>25931.850000000002</v>
      </c>
      <c r="I9" s="162">
        <v>28093.800000000003</v>
      </c>
      <c r="J9" s="162">
        <v>-86627.1</v>
      </c>
      <c r="K9" s="162">
        <v>35133</v>
      </c>
      <c r="L9" s="162">
        <v>16178.400000000001</v>
      </c>
      <c r="M9" s="162">
        <v>38285.1</v>
      </c>
      <c r="N9" s="162">
        <v>43441.65</v>
      </c>
      <c r="O9" s="162">
        <v>14101.5</v>
      </c>
      <c r="P9" s="162">
        <v>50009.4</v>
      </c>
      <c r="Q9" s="162">
        <v>20541.150000000001</v>
      </c>
      <c r="R9" s="162">
        <v>380572.50000000006</v>
      </c>
      <c r="S9" s="162">
        <v>31714.375000000004</v>
      </c>
    </row>
    <row r="10" spans="1:19" ht="16.2" thickBot="1" x14ac:dyDescent="0.35">
      <c r="A10" s="63"/>
      <c r="B10" s="64"/>
      <c r="C10" s="65"/>
      <c r="D10" s="66"/>
      <c r="E10" s="12" t="s">
        <v>135</v>
      </c>
      <c r="F10" s="162">
        <f>SUM(F5:F9)</f>
        <v>1085608.55</v>
      </c>
      <c r="G10" s="162">
        <f t="shared" ref="G10:S10" si="1">SUM(G5:G9)</f>
        <v>1219209.21</v>
      </c>
      <c r="H10" s="162">
        <f t="shared" si="1"/>
        <v>1318521.1500000004</v>
      </c>
      <c r="I10" s="162">
        <f t="shared" si="1"/>
        <v>1315753.45</v>
      </c>
      <c r="J10" s="162">
        <f t="shared" si="1"/>
        <v>1206222.31</v>
      </c>
      <c r="K10" s="162">
        <f t="shared" si="1"/>
        <v>1319843.9500000002</v>
      </c>
      <c r="L10" s="162">
        <f t="shared" si="1"/>
        <v>1210062.0699999998</v>
      </c>
      <c r="M10" s="162">
        <f t="shared" si="1"/>
        <v>1598643.2600000002</v>
      </c>
      <c r="N10" s="162">
        <f t="shared" si="1"/>
        <v>1363243.56</v>
      </c>
      <c r="O10" s="162">
        <f t="shared" si="1"/>
        <v>1273301.8899999999</v>
      </c>
      <c r="P10" s="162">
        <f t="shared" si="1"/>
        <v>1304394.5899999999</v>
      </c>
      <c r="Q10" s="162">
        <f t="shared" si="1"/>
        <v>1118059.5499999998</v>
      </c>
      <c r="R10" s="162">
        <f t="shared" si="1"/>
        <v>15332863.540000001</v>
      </c>
      <c r="S10" s="162">
        <f t="shared" si="1"/>
        <v>1277738.6283333334</v>
      </c>
    </row>
    <row r="11" spans="1:19" ht="16.2" thickBot="1" x14ac:dyDescent="0.35">
      <c r="A11" s="68" t="s">
        <v>31</v>
      </c>
      <c r="B11" s="69"/>
      <c r="C11" s="70"/>
      <c r="D11" s="71"/>
      <c r="E11" s="163">
        <f>F10/$R$10</f>
        <v>7.0802726911896846E-2</v>
      </c>
      <c r="F11" s="163">
        <f t="shared" ref="F11:P11" si="2">G10/$R$10</f>
        <v>7.9516080399421582E-2</v>
      </c>
      <c r="G11" s="163">
        <f t="shared" si="2"/>
        <v>8.5993144500391236E-2</v>
      </c>
      <c r="H11" s="163">
        <f t="shared" si="2"/>
        <v>8.5812636795957548E-2</v>
      </c>
      <c r="I11" s="163">
        <f t="shared" si="2"/>
        <v>7.8669082709386717E-2</v>
      </c>
      <c r="J11" s="163">
        <f t="shared" si="2"/>
        <v>8.607941670887656E-2</v>
      </c>
      <c r="K11" s="163">
        <f t="shared" si="2"/>
        <v>7.8919509512572095E-2</v>
      </c>
      <c r="L11" s="163">
        <f t="shared" si="2"/>
        <v>0.10426253751163302</v>
      </c>
      <c r="M11" s="163">
        <f t="shared" si="2"/>
        <v>8.890991277941028E-2</v>
      </c>
      <c r="N11" s="163">
        <f t="shared" si="2"/>
        <v>8.3043971967678501E-2</v>
      </c>
      <c r="O11" s="163">
        <f t="shared" si="2"/>
        <v>8.5071818880871605E-2</v>
      </c>
      <c r="P11" s="163">
        <f t="shared" si="2"/>
        <v>7.2919161321903986E-2</v>
      </c>
    </row>
    <row r="12" spans="1:19" ht="16.2" thickBot="1" x14ac:dyDescent="0.35">
      <c r="A12" s="164"/>
      <c r="B12" s="165"/>
      <c r="C12" s="166"/>
      <c r="D12" s="167"/>
      <c r="E12" s="159" t="s">
        <v>117</v>
      </c>
      <c r="F12" s="160" t="s">
        <v>118</v>
      </c>
      <c r="G12" s="160" t="s">
        <v>119</v>
      </c>
      <c r="H12" s="160" t="s">
        <v>120</v>
      </c>
      <c r="I12" s="160" t="s">
        <v>121</v>
      </c>
      <c r="J12" s="160" t="s">
        <v>122</v>
      </c>
      <c r="K12" s="160" t="s">
        <v>123</v>
      </c>
      <c r="L12" s="160" t="s">
        <v>124</v>
      </c>
      <c r="M12" s="160" t="s">
        <v>125</v>
      </c>
      <c r="N12" s="160" t="s">
        <v>126</v>
      </c>
      <c r="O12" s="160" t="s">
        <v>127</v>
      </c>
      <c r="P12" s="161" t="s">
        <v>128</v>
      </c>
    </row>
    <row r="13" spans="1:19" ht="15" thickBot="1" x14ac:dyDescent="0.35">
      <c r="A13" s="73" t="s">
        <v>33</v>
      </c>
      <c r="B13" s="74">
        <v>252734</v>
      </c>
      <c r="C13" s="54">
        <f t="shared" ref="C13:C31" ca="1" si="3">SUM(B13/$C$20)</f>
        <v>1.7550209275624545E-2</v>
      </c>
      <c r="D13" s="155">
        <f t="shared" ref="D13:D30" ca="1" si="4">ROUND(B13/$C$13,2)</f>
        <v>21061.17</v>
      </c>
      <c r="E13" s="168">
        <f>($B$13/12)*(1+$E$11)</f>
        <v>22552.354698612613</v>
      </c>
      <c r="F13" s="168">
        <f>(B13/12)*(1+$F$11)</f>
        <v>22735.868088638952</v>
      </c>
      <c r="G13" s="168">
        <f>(B13/12)*(1+$G$11)</f>
        <v>22872.282615180156</v>
      </c>
      <c r="H13" s="168">
        <f>(B13/12)*(1+$H$11)</f>
        <v>22868.480912332463</v>
      </c>
      <c r="I13" s="168">
        <f>(B13/12)*(1+$I$11)</f>
        <v>22718.029329122848</v>
      </c>
      <c r="J13" s="168">
        <f>(B13/12)*(1+$J$11)</f>
        <v>22874.099608541768</v>
      </c>
      <c r="K13" s="168">
        <f>(B13/12)*(1+$K$11)</f>
        <v>22723.303609762534</v>
      </c>
      <c r="L13" s="168">
        <f>(B13/12)*(1+$L$11)</f>
        <v>23257.057346288759</v>
      </c>
      <c r="M13" s="168">
        <f>(B13/12)*(1+$M$11)</f>
        <v>22933.713158032624</v>
      </c>
      <c r="N13" s="168">
        <f>(B13/12)*(1+$N$11)</f>
        <v>22810.169600939942</v>
      </c>
      <c r="O13" s="168">
        <f>(B13/12)*(1+$O$11)</f>
        <v>22852.878422753187</v>
      </c>
      <c r="P13" s="168">
        <f>(B13/12)*(1+$P$11)</f>
        <v>22596.929276460844</v>
      </c>
    </row>
    <row r="14" spans="1:19" ht="15" thickBot="1" x14ac:dyDescent="0.35">
      <c r="A14" s="77" t="s">
        <v>34</v>
      </c>
      <c r="B14" s="3">
        <v>44006</v>
      </c>
      <c r="C14" s="54">
        <f t="shared" ca="1" si="3"/>
        <v>3.0558393780937025E-3</v>
      </c>
      <c r="D14" s="155">
        <f t="shared" ca="1" si="4"/>
        <v>3667.17</v>
      </c>
      <c r="E14" s="168">
        <f t="shared" ref="E14:E76" si="5">(B14/12)*(1+$E$11)</f>
        <v>3926.812066707078</v>
      </c>
      <c r="F14" s="168">
        <f t="shared" ref="F14:F76" si="6">(B14/12)*(1+$F$11)</f>
        <v>3958.7653861714116</v>
      </c>
      <c r="G14" s="168">
        <f t="shared" ref="G14:G76" si="7">(B14/12)*(1+$G$11)</f>
        <v>3982.517859740351</v>
      </c>
      <c r="H14" s="168">
        <f t="shared" ref="H14:H76" si="8">(B14/12)*(1+$H$11)</f>
        <v>3981.8559079035754</v>
      </c>
      <c r="I14" s="168">
        <f t="shared" ref="I14:I76" si="9">(B14/12)*(1+$I$11)</f>
        <v>3955.6593044757728</v>
      </c>
      <c r="J14" s="168">
        <f t="shared" ref="J14:J76" si="10">(B14/12)*(1+$J$11)</f>
        <v>3982.8342343075683</v>
      </c>
      <c r="K14" s="168">
        <f t="shared" ref="K14:K76" si="11">(B14/12)*(1+$K$11)</f>
        <v>3956.5776613008538</v>
      </c>
      <c r="L14" s="168">
        <f t="shared" ref="L14:L76" si="12">(B14/12)*(1+$L$11)</f>
        <v>4049.5147688114102</v>
      </c>
      <c r="M14" s="168">
        <f t="shared" ref="M14:M76" si="13">(B14/12)*(1+$M$11)</f>
        <v>3993.2141351475602</v>
      </c>
      <c r="N14" s="168">
        <f t="shared" ref="N14:N76" si="14">(B14/12)*(1+$N$11)</f>
        <v>3971.7027525341382</v>
      </c>
      <c r="O14" s="168">
        <f t="shared" ref="O14:O76" si="15">(B14/12)*(1+$O$11)</f>
        <v>3979.1392051393032</v>
      </c>
      <c r="P14" s="168">
        <f t="shared" ref="P14:P76" si="16">(B14/12)*(1+$P$11)</f>
        <v>3934.5733844276424</v>
      </c>
    </row>
    <row r="15" spans="1:19" ht="15" thickBot="1" x14ac:dyDescent="0.35">
      <c r="A15" s="77" t="s">
        <v>35</v>
      </c>
      <c r="B15" s="3">
        <v>52381</v>
      </c>
      <c r="C15" s="54">
        <f t="shared" ca="1" si="3"/>
        <v>3.6374113180913108E-3</v>
      </c>
      <c r="D15" s="155">
        <f t="shared" ca="1" si="4"/>
        <v>4365.08</v>
      </c>
      <c r="E15" s="168">
        <f t="shared" si="5"/>
        <v>4674.1431365310054</v>
      </c>
      <c r="F15" s="168">
        <f t="shared" si="6"/>
        <v>4712.1776506168408</v>
      </c>
      <c r="G15" s="168">
        <f t="shared" si="7"/>
        <v>4740.4505751729157</v>
      </c>
      <c r="H15" s="168">
        <f t="shared" si="8"/>
        <v>4739.662644000754</v>
      </c>
      <c r="I15" s="168">
        <f t="shared" si="9"/>
        <v>4708.4804351166986</v>
      </c>
      <c r="J15" s="168">
        <f t="shared" si="10"/>
        <v>4740.827160552305</v>
      </c>
      <c r="K15" s="168">
        <f t="shared" si="11"/>
        <v>4709.5735689815028</v>
      </c>
      <c r="L15" s="168">
        <f t="shared" si="12"/>
        <v>4820.1979981164041</v>
      </c>
      <c r="M15" s="168">
        <f t="shared" si="13"/>
        <v>4753.1825117748567</v>
      </c>
      <c r="N15" s="168">
        <f t="shared" si="14"/>
        <v>4727.5771913032468</v>
      </c>
      <c r="O15" s="168">
        <f t="shared" si="15"/>
        <v>4736.4289120665781</v>
      </c>
      <c r="P15" s="168">
        <f t="shared" si="16"/>
        <v>4683.3815491002206</v>
      </c>
    </row>
    <row r="16" spans="1:19" ht="15" thickBot="1" x14ac:dyDescent="0.35">
      <c r="A16" s="77" t="s">
        <v>36</v>
      </c>
      <c r="B16" s="3">
        <v>201053</v>
      </c>
      <c r="C16" s="54">
        <f t="shared" ca="1" si="3"/>
        <v>1.3961406955503184E-2</v>
      </c>
      <c r="D16" s="155">
        <f t="shared" ca="1" si="4"/>
        <v>16754.419999999998</v>
      </c>
      <c r="E16" s="168">
        <f t="shared" si="5"/>
        <v>17940.675054484804</v>
      </c>
      <c r="F16" s="168">
        <f t="shared" si="6"/>
        <v>18086.662209378741</v>
      </c>
      <c r="G16" s="168">
        <f t="shared" si="7"/>
        <v>18195.181640103096</v>
      </c>
      <c r="H16" s="168">
        <f t="shared" si="8"/>
        <v>18192.15733881147</v>
      </c>
      <c r="I16" s="168">
        <f t="shared" si="9"/>
        <v>18072.471257164198</v>
      </c>
      <c r="J16" s="168">
        <f t="shared" si="10"/>
        <v>18196.627080630813</v>
      </c>
      <c r="K16" s="168">
        <f t="shared" si="11"/>
        <v>18076.667012169266</v>
      </c>
      <c r="L16" s="168">
        <f t="shared" si="12"/>
        <v>18501.274662860531</v>
      </c>
      <c r="M16" s="168">
        <f t="shared" si="13"/>
        <v>18244.050391169898</v>
      </c>
      <c r="N16" s="168">
        <f t="shared" si="14"/>
        <v>18145.769974668139</v>
      </c>
      <c r="O16" s="168">
        <f t="shared" si="15"/>
        <v>18179.745366787993</v>
      </c>
      <c r="P16" s="168">
        <f t="shared" si="16"/>
        <v>17976.134678437731</v>
      </c>
    </row>
    <row r="17" spans="1:16" ht="15" thickBot="1" x14ac:dyDescent="0.35">
      <c r="A17" s="77" t="s">
        <v>37</v>
      </c>
      <c r="B17" s="3">
        <v>97355</v>
      </c>
      <c r="C17" s="54">
        <f t="shared" ca="1" si="3"/>
        <v>6.7604699962348861E-3</v>
      </c>
      <c r="D17" s="155">
        <f t="shared" ca="1" si="4"/>
        <v>8112.92</v>
      </c>
      <c r="E17" s="168">
        <f t="shared" si="5"/>
        <v>8687.3332898756435</v>
      </c>
      <c r="F17" s="168">
        <f t="shared" si="6"/>
        <v>8758.0240006071399</v>
      </c>
      <c r="G17" s="168">
        <f t="shared" si="7"/>
        <v>8810.5718819029662</v>
      </c>
      <c r="H17" s="168">
        <f t="shared" si="8"/>
        <v>8809.1074379392048</v>
      </c>
      <c r="I17" s="168">
        <f t="shared" si="9"/>
        <v>8751.1523789310286</v>
      </c>
      <c r="J17" s="168">
        <f t="shared" si="10"/>
        <v>8811.2718011410561</v>
      </c>
      <c r="K17" s="168">
        <f t="shared" si="11"/>
        <v>8753.1840707163719</v>
      </c>
      <c r="L17" s="168">
        <f t="shared" si="12"/>
        <v>8958.7899449537526</v>
      </c>
      <c r="M17" s="168">
        <f t="shared" si="13"/>
        <v>8834.2353798866243</v>
      </c>
      <c r="N17" s="168">
        <f t="shared" si="14"/>
        <v>8786.6454909094464</v>
      </c>
      <c r="O17" s="168">
        <f t="shared" si="15"/>
        <v>8803.097243928938</v>
      </c>
      <c r="P17" s="168">
        <f t="shared" si="16"/>
        <v>8704.5037458744973</v>
      </c>
    </row>
    <row r="18" spans="1:16" ht="15" thickBot="1" x14ac:dyDescent="0.35">
      <c r="A18" s="77" t="s">
        <v>38</v>
      </c>
      <c r="B18" s="3">
        <v>71482</v>
      </c>
      <c r="C18" s="54">
        <f t="shared" ca="1" si="3"/>
        <v>4.9638119898398865E-3</v>
      </c>
      <c r="D18" s="155">
        <f t="shared" ca="1" si="4"/>
        <v>5956.83</v>
      </c>
      <c r="E18" s="168">
        <f t="shared" si="5"/>
        <v>6378.5933770930178</v>
      </c>
      <c r="F18" s="168">
        <f t="shared" si="6"/>
        <v>6430.4973715926199</v>
      </c>
      <c r="G18" s="168">
        <f t="shared" si="7"/>
        <v>6469.0801629314137</v>
      </c>
      <c r="H18" s="168">
        <f t="shared" si="8"/>
        <v>6468.0049086207191</v>
      </c>
      <c r="I18" s="168">
        <f t="shared" si="9"/>
        <v>6425.4519475193647</v>
      </c>
      <c r="J18" s="168">
        <f t="shared" si="10"/>
        <v>6469.5940720986591</v>
      </c>
      <c r="K18" s="168">
        <f t="shared" si="11"/>
        <v>6426.9436982481393</v>
      </c>
      <c r="L18" s="168">
        <f t="shared" si="12"/>
        <v>6577.9078922005456</v>
      </c>
      <c r="M18" s="168">
        <f t="shared" si="13"/>
        <v>6486.454865441483</v>
      </c>
      <c r="N18" s="168">
        <f t="shared" si="14"/>
        <v>6451.5124336827994</v>
      </c>
      <c r="O18" s="168">
        <f t="shared" si="15"/>
        <v>6463.5919797702054</v>
      </c>
      <c r="P18" s="168">
        <f t="shared" si="16"/>
        <v>6391.2006241343615</v>
      </c>
    </row>
    <row r="19" spans="1:16" ht="15" thickBot="1" x14ac:dyDescent="0.35">
      <c r="A19" s="79" t="s">
        <v>39</v>
      </c>
      <c r="B19" s="3">
        <v>286939</v>
      </c>
      <c r="C19" s="54">
        <f t="shared" ca="1" si="3"/>
        <v>1.9925453240713285E-2</v>
      </c>
      <c r="D19" s="155">
        <f t="shared" ca="1" si="4"/>
        <v>23911.58</v>
      </c>
      <c r="E19" s="168">
        <f t="shared" si="5"/>
        <v>25604.588638114397</v>
      </c>
      <c r="F19" s="168">
        <f t="shared" si="6"/>
        <v>25812.938716144134</v>
      </c>
      <c r="G19" s="168">
        <f t="shared" si="7"/>
        <v>25967.815574149812</v>
      </c>
      <c r="H19" s="168">
        <f t="shared" si="8"/>
        <v>25963.499349132937</v>
      </c>
      <c r="I19" s="168">
        <f t="shared" si="9"/>
        <v>25792.685660295727</v>
      </c>
      <c r="J19" s="168">
        <f t="shared" si="10"/>
        <v>25969.878479252358</v>
      </c>
      <c r="K19" s="168">
        <f t="shared" si="11"/>
        <v>25798.673761668993</v>
      </c>
      <c r="L19" s="168">
        <f t="shared" si="12"/>
        <v>26404.665687587538</v>
      </c>
      <c r="M19" s="168">
        <f t="shared" si="13"/>
        <v>26037.560121917595</v>
      </c>
      <c r="N19" s="168">
        <f t="shared" si="14"/>
        <v>25897.296189369474</v>
      </c>
      <c r="O19" s="168">
        <f t="shared" si="15"/>
        <v>25945.785219821537</v>
      </c>
      <c r="P19" s="168">
        <f t="shared" si="16"/>
        <v>25655.195935878815</v>
      </c>
    </row>
    <row r="20" spans="1:16" ht="15" thickBot="1" x14ac:dyDescent="0.35">
      <c r="A20" s="77" t="s">
        <v>40</v>
      </c>
      <c r="B20" s="3">
        <v>106338</v>
      </c>
      <c r="C20" s="54">
        <f t="shared" ca="1" si="3"/>
        <v>7.3842623230406792E-3</v>
      </c>
      <c r="D20" s="155">
        <f t="shared" ca="1" si="4"/>
        <v>8861.5</v>
      </c>
      <c r="E20" s="168">
        <f t="shared" si="5"/>
        <v>9488.9183645297744</v>
      </c>
      <c r="F20" s="168">
        <f t="shared" si="6"/>
        <v>9566.131746459474</v>
      </c>
      <c r="G20" s="168">
        <f t="shared" si="7"/>
        <v>9623.5282499902169</v>
      </c>
      <c r="H20" s="168">
        <f t="shared" si="8"/>
        <v>9621.9286809673777</v>
      </c>
      <c r="I20" s="168">
        <f t="shared" si="9"/>
        <v>9558.626076429231</v>
      </c>
      <c r="J20" s="168">
        <f t="shared" si="10"/>
        <v>9624.292751165709</v>
      </c>
      <c r="K20" s="168">
        <f t="shared" si="11"/>
        <v>9560.8452335456568</v>
      </c>
      <c r="L20" s="168">
        <f t="shared" si="12"/>
        <v>9785.4224761593359</v>
      </c>
      <c r="M20" s="168">
        <f t="shared" si="13"/>
        <v>9649.3751920947434</v>
      </c>
      <c r="N20" s="168">
        <f t="shared" si="14"/>
        <v>9597.3941575915833</v>
      </c>
      <c r="O20" s="168">
        <f t="shared" si="15"/>
        <v>9615.3639230128447</v>
      </c>
      <c r="P20" s="168">
        <f t="shared" si="16"/>
        <v>9507.6731480540529</v>
      </c>
    </row>
    <row r="21" spans="1:16" ht="15" thickBot="1" x14ac:dyDescent="0.35">
      <c r="A21" s="77" t="s">
        <v>41</v>
      </c>
      <c r="B21" s="3">
        <v>82235</v>
      </c>
      <c r="C21" s="54">
        <f t="shared" ca="1" si="3"/>
        <v>5.71051564008398E-3</v>
      </c>
      <c r="D21" s="155">
        <f t="shared" ca="1" si="4"/>
        <v>6852.92</v>
      </c>
      <c r="E21" s="168">
        <f t="shared" si="5"/>
        <v>7338.1218539666543</v>
      </c>
      <c r="F21" s="168">
        <f t="shared" si="6"/>
        <v>7397.8337393038692</v>
      </c>
      <c r="G21" s="168">
        <f t="shared" si="7"/>
        <v>7442.2205198324727</v>
      </c>
      <c r="H21" s="168">
        <f t="shared" si="8"/>
        <v>7440.9835155762976</v>
      </c>
      <c r="I21" s="168">
        <f t="shared" si="9"/>
        <v>7392.0293347172019</v>
      </c>
      <c r="J21" s="168">
        <f t="shared" si="10"/>
        <v>7442.8117360878723</v>
      </c>
      <c r="K21" s="168">
        <f t="shared" si="11"/>
        <v>7393.7454887305312</v>
      </c>
      <c r="L21" s="168">
        <f t="shared" si="12"/>
        <v>7567.4191476890956</v>
      </c>
      <c r="M21" s="168">
        <f t="shared" si="13"/>
        <v>7462.208889784567</v>
      </c>
      <c r="N21" s="168">
        <f t="shared" si="14"/>
        <v>7422.0100862301706</v>
      </c>
      <c r="O21" s="168">
        <f t="shared" si="15"/>
        <v>7435.9067521390407</v>
      </c>
      <c r="P21" s="168">
        <f t="shared" si="16"/>
        <v>7352.6256026088986</v>
      </c>
    </row>
    <row r="22" spans="1:16" ht="15" thickBot="1" x14ac:dyDescent="0.35">
      <c r="A22" s="77" t="s">
        <v>42</v>
      </c>
      <c r="B22" s="3">
        <v>7326551</v>
      </c>
      <c r="C22" s="54">
        <f t="shared" ca="1" si="3"/>
        <v>0.50876614669390063</v>
      </c>
      <c r="D22" s="155">
        <f t="shared" ca="1" si="4"/>
        <v>610545.92000000004</v>
      </c>
      <c r="E22" s="168">
        <f t="shared" si="5"/>
        <v>653774.2324715904</v>
      </c>
      <c r="F22" s="168">
        <f t="shared" si="6"/>
        <v>659094.13486387173</v>
      </c>
      <c r="G22" s="168">
        <f t="shared" si="7"/>
        <v>663048.67990270711</v>
      </c>
      <c r="H22" s="168">
        <f t="shared" si="8"/>
        <v>662938.47166083823</v>
      </c>
      <c r="I22" s="168">
        <f t="shared" si="9"/>
        <v>658577.00388279499</v>
      </c>
      <c r="J22" s="168">
        <f t="shared" si="10"/>
        <v>663101.35304731969</v>
      </c>
      <c r="K22" s="168">
        <f t="shared" si="11"/>
        <v>658729.90094490373</v>
      </c>
      <c r="L22" s="168">
        <f t="shared" si="12"/>
        <v>674202.98320569936</v>
      </c>
      <c r="M22" s="168">
        <f t="shared" si="13"/>
        <v>664829.50086532498</v>
      </c>
      <c r="N22" s="168">
        <f t="shared" si="14"/>
        <v>661248.07465531386</v>
      </c>
      <c r="O22" s="168">
        <f t="shared" si="15"/>
        <v>662486.16830778902</v>
      </c>
      <c r="P22" s="168">
        <f t="shared" si="16"/>
        <v>655066.41285851307</v>
      </c>
    </row>
    <row r="23" spans="1:16" ht="15" thickBot="1" x14ac:dyDescent="0.35">
      <c r="A23" s="77" t="s">
        <v>43</v>
      </c>
      <c r="B23" s="3">
        <v>1937647</v>
      </c>
      <c r="C23" s="54">
        <f t="shared" ca="1" si="3"/>
        <v>0.13455297012782638</v>
      </c>
      <c r="D23" s="155">
        <f t="shared" ca="1" si="4"/>
        <v>161470.57999999999</v>
      </c>
      <c r="E23" s="168">
        <f t="shared" si="5"/>
        <v>172903.14094938803</v>
      </c>
      <c r="F23" s="168">
        <f t="shared" si="6"/>
        <v>174310.09121980815</v>
      </c>
      <c r="G23" s="168">
        <f t="shared" si="7"/>
        <v>175355.94653847913</v>
      </c>
      <c r="H23" s="168">
        <f t="shared" si="8"/>
        <v>175326.79985414806</v>
      </c>
      <c r="I23" s="168">
        <f t="shared" si="9"/>
        <v>174173.32600871628</v>
      </c>
      <c r="J23" s="168">
        <f t="shared" si="10"/>
        <v>175369.87696230871</v>
      </c>
      <c r="K23" s="168">
        <f t="shared" si="11"/>
        <v>174213.7625707089</v>
      </c>
      <c r="L23" s="168">
        <f t="shared" si="12"/>
        <v>178305.9160851503</v>
      </c>
      <c r="M23" s="168">
        <f t="shared" si="13"/>
        <v>175826.91881394049</v>
      </c>
      <c r="N23" s="168">
        <f t="shared" si="14"/>
        <v>174879.74192927137</v>
      </c>
      <c r="O23" s="168">
        <f t="shared" si="15"/>
        <v>175207.17955325538</v>
      </c>
      <c r="P23" s="168">
        <f t="shared" si="16"/>
        <v>173244.88284815862</v>
      </c>
    </row>
    <row r="24" spans="1:16" ht="15" thickBot="1" x14ac:dyDescent="0.35">
      <c r="A24" s="77" t="s">
        <v>44</v>
      </c>
      <c r="B24" s="3">
        <v>1616155</v>
      </c>
      <c r="C24" s="54">
        <f t="shared" ca="1" si="3"/>
        <v>0.11222810730589074</v>
      </c>
      <c r="D24" s="155">
        <f t="shared" ca="1" si="4"/>
        <v>134679.57999999999</v>
      </c>
      <c r="E24" s="168">
        <f t="shared" si="5"/>
        <v>144215.26509269141</v>
      </c>
      <c r="F24" s="168">
        <f t="shared" si="6"/>
        <v>145388.77590982727</v>
      </c>
      <c r="G24" s="168">
        <f t="shared" si="7"/>
        <v>146261.10420416915</v>
      </c>
      <c r="H24" s="168">
        <f t="shared" si="8"/>
        <v>146236.79350174757</v>
      </c>
      <c r="I24" s="168">
        <f t="shared" si="9"/>
        <v>145274.70261384911</v>
      </c>
      <c r="J24" s="168">
        <f t="shared" si="10"/>
        <v>146272.7233092612</v>
      </c>
      <c r="K24" s="168">
        <f t="shared" si="11"/>
        <v>145308.42999135758</v>
      </c>
      <c r="L24" s="168">
        <f t="shared" si="12"/>
        <v>148721.61844267612</v>
      </c>
      <c r="M24" s="168">
        <f t="shared" si="13"/>
        <v>146653.93334066731</v>
      </c>
      <c r="N24" s="168">
        <f t="shared" si="14"/>
        <v>145863.91087628531</v>
      </c>
      <c r="O24" s="168">
        <f t="shared" si="15"/>
        <v>146137.02045361794</v>
      </c>
      <c r="P24" s="168">
        <f t="shared" si="16"/>
        <v>144500.3055971835</v>
      </c>
    </row>
    <row r="25" spans="1:16" ht="15" thickBot="1" x14ac:dyDescent="0.35">
      <c r="A25" s="79" t="s">
        <v>45</v>
      </c>
      <c r="B25" s="3">
        <v>23981</v>
      </c>
      <c r="C25" s="54">
        <f t="shared" ca="1" si="3"/>
        <v>1.6652748290247937E-3</v>
      </c>
      <c r="D25" s="155">
        <f t="shared" ca="1" si="4"/>
        <v>1998.42</v>
      </c>
      <c r="E25" s="168">
        <f t="shared" si="5"/>
        <v>2139.9100161728502</v>
      </c>
      <c r="F25" s="168">
        <f t="shared" si="6"/>
        <v>2157.3229270048773</v>
      </c>
      <c r="G25" s="168">
        <f t="shared" si="7"/>
        <v>2170.2667998553234</v>
      </c>
      <c r="H25" s="168">
        <f t="shared" si="8"/>
        <v>2169.9060702503216</v>
      </c>
      <c r="I25" s="168">
        <f t="shared" si="9"/>
        <v>2155.6302727044836</v>
      </c>
      <c r="J25" s="168">
        <f t="shared" si="10"/>
        <v>2170.4392076746308</v>
      </c>
      <c r="K25" s="168">
        <f t="shared" si="11"/>
        <v>2156.1307298017496</v>
      </c>
      <c r="L25" s="168">
        <f t="shared" si="12"/>
        <v>2206.7766593388728</v>
      </c>
      <c r="M25" s="168">
        <f t="shared" si="13"/>
        <v>2176.0957181969197</v>
      </c>
      <c r="N25" s="168">
        <f t="shared" si="14"/>
        <v>2164.3731243130751</v>
      </c>
      <c r="O25" s="168">
        <f t="shared" si="15"/>
        <v>2168.4256073818487</v>
      </c>
      <c r="P25" s="168">
        <f t="shared" si="16"/>
        <v>2144.1395339717151</v>
      </c>
    </row>
    <row r="26" spans="1:16" ht="15" thickBot="1" x14ac:dyDescent="0.35">
      <c r="A26" s="77" t="s">
        <v>46</v>
      </c>
      <c r="B26" s="80">
        <v>187318</v>
      </c>
      <c r="C26" s="54">
        <f t="shared" ca="1" si="3"/>
        <v>1.3007628973907106E-2</v>
      </c>
      <c r="D26" s="155">
        <f t="shared" ca="1" si="4"/>
        <v>15609.83</v>
      </c>
      <c r="E26" s="168">
        <f t="shared" si="5"/>
        <v>16715.05209997356</v>
      </c>
      <c r="F26" s="168">
        <f t="shared" si="6"/>
        <v>16851.066095688238</v>
      </c>
      <c r="G26" s="168">
        <f t="shared" si="7"/>
        <v>16952.171986793692</v>
      </c>
      <c r="H26" s="168">
        <f t="shared" si="8"/>
        <v>16949.354291612097</v>
      </c>
      <c r="I26" s="168">
        <f t="shared" si="9"/>
        <v>16837.844602913076</v>
      </c>
      <c r="J26" s="168">
        <f t="shared" si="10"/>
        <v>16953.518681589445</v>
      </c>
      <c r="K26" s="168">
        <f t="shared" si="11"/>
        <v>16841.753723572998</v>
      </c>
      <c r="L26" s="168">
        <f t="shared" si="12"/>
        <v>17237.354166800342</v>
      </c>
      <c r="M26" s="168">
        <f t="shared" si="13"/>
        <v>16997.702253501131</v>
      </c>
      <c r="N26" s="168">
        <f t="shared" si="14"/>
        <v>16906.135895086802</v>
      </c>
      <c r="O26" s="168">
        <f t="shared" si="15"/>
        <v>16937.79024742726</v>
      </c>
      <c r="P26" s="168">
        <f t="shared" si="16"/>
        <v>16748.089288374704</v>
      </c>
    </row>
    <row r="27" spans="1:16" ht="15" thickBot="1" x14ac:dyDescent="0.35">
      <c r="A27" s="77" t="s">
        <v>47</v>
      </c>
      <c r="B27" s="3">
        <v>30830</v>
      </c>
      <c r="C27" s="54">
        <f t="shared" ca="1" si="3"/>
        <v>2.1408791534479124E-3</v>
      </c>
      <c r="D27" s="155">
        <f t="shared" ca="1" si="4"/>
        <v>2569.17</v>
      </c>
      <c r="E27" s="168">
        <f t="shared" si="5"/>
        <v>2751.0706725578152</v>
      </c>
      <c r="F27" s="168">
        <f t="shared" si="6"/>
        <v>2773.4567298928469</v>
      </c>
      <c r="G27" s="168">
        <f t="shared" si="7"/>
        <v>2790.0973870789217</v>
      </c>
      <c r="H27" s="168">
        <f t="shared" si="8"/>
        <v>2789.6336327016138</v>
      </c>
      <c r="I27" s="168">
        <f t="shared" si="9"/>
        <v>2771.2806516608662</v>
      </c>
      <c r="J27" s="168">
        <f t="shared" si="10"/>
        <v>2790.3190347612217</v>
      </c>
      <c r="K27" s="168">
        <f t="shared" si="11"/>
        <v>2771.9240398560496</v>
      </c>
      <c r="L27" s="168">
        <f t="shared" si="12"/>
        <v>2837.0345026236373</v>
      </c>
      <c r="M27" s="168">
        <f t="shared" si="13"/>
        <v>2797.5910509157679</v>
      </c>
      <c r="N27" s="168">
        <f t="shared" si="14"/>
        <v>2782.5204713136272</v>
      </c>
      <c r="O27" s="168">
        <f t="shared" si="15"/>
        <v>2787.7303480081059</v>
      </c>
      <c r="P27" s="168">
        <f t="shared" si="16"/>
        <v>2756.5081452961917</v>
      </c>
    </row>
    <row r="28" spans="1:16" ht="15" thickBot="1" x14ac:dyDescent="0.35">
      <c r="A28" s="79" t="s">
        <v>48</v>
      </c>
      <c r="B28" s="3">
        <v>860</v>
      </c>
      <c r="C28" s="54">
        <f t="shared" ca="1" si="3"/>
        <v>5.9719626077366357E-5</v>
      </c>
      <c r="D28" s="155">
        <f t="shared" ca="1" si="4"/>
        <v>71.67</v>
      </c>
      <c r="E28" s="168">
        <f t="shared" si="5"/>
        <v>76.740862095352625</v>
      </c>
      <c r="F28" s="168">
        <f t="shared" si="6"/>
        <v>77.365319095291881</v>
      </c>
      <c r="G28" s="168">
        <f t="shared" si="7"/>
        <v>77.829508689194711</v>
      </c>
      <c r="H28" s="168">
        <f t="shared" si="8"/>
        <v>77.816572303710288</v>
      </c>
      <c r="I28" s="168">
        <f t="shared" si="9"/>
        <v>77.304617594172726</v>
      </c>
      <c r="J28" s="168">
        <f t="shared" si="10"/>
        <v>77.835691530802819</v>
      </c>
      <c r="K28" s="168">
        <f t="shared" si="11"/>
        <v>77.322564848401001</v>
      </c>
      <c r="L28" s="168">
        <f t="shared" si="12"/>
        <v>79.138815188333709</v>
      </c>
      <c r="M28" s="168">
        <f t="shared" si="13"/>
        <v>78.038543749191064</v>
      </c>
      <c r="N28" s="168">
        <f t="shared" si="14"/>
        <v>77.618151324350308</v>
      </c>
      <c r="O28" s="168">
        <f t="shared" si="15"/>
        <v>77.76348035312914</v>
      </c>
      <c r="P28" s="168">
        <f t="shared" si="16"/>
        <v>76.892539894736458</v>
      </c>
    </row>
    <row r="29" spans="1:16" ht="15" thickBot="1" x14ac:dyDescent="0.35">
      <c r="A29" s="77" t="s">
        <v>49</v>
      </c>
      <c r="B29" s="80">
        <v>-24788</v>
      </c>
      <c r="C29" s="54">
        <f t="shared" ca="1" si="3"/>
        <v>-1.7213140595415783E-3</v>
      </c>
      <c r="D29" s="155">
        <f t="shared" ca="1" si="4"/>
        <v>-2065.67</v>
      </c>
      <c r="E29" s="168">
        <f t="shared" si="5"/>
        <v>-2211.9214995576749</v>
      </c>
      <c r="F29" s="168">
        <f t="shared" si="6"/>
        <v>-2229.9203834117379</v>
      </c>
      <c r="G29" s="168">
        <f t="shared" si="7"/>
        <v>-2243.2998388229744</v>
      </c>
      <c r="H29" s="168">
        <f t="shared" si="8"/>
        <v>-2242.9269700748496</v>
      </c>
      <c r="I29" s="168">
        <f t="shared" si="9"/>
        <v>-2228.1707685166898</v>
      </c>
      <c r="J29" s="168">
        <f t="shared" si="10"/>
        <v>-2243.4780484483026</v>
      </c>
      <c r="K29" s="168">
        <f t="shared" si="11"/>
        <v>-2228.6880668164695</v>
      </c>
      <c r="L29" s="168">
        <f t="shared" si="12"/>
        <v>-2281.0383149865297</v>
      </c>
      <c r="M29" s="168">
        <f t="shared" si="13"/>
        <v>-2249.3249098313349</v>
      </c>
      <c r="N29" s="168">
        <f t="shared" si="14"/>
        <v>-2237.2078314279011</v>
      </c>
      <c r="O29" s="168">
        <f t="shared" si="15"/>
        <v>-2241.3966872015872</v>
      </c>
      <c r="P29" s="168">
        <f t="shared" si="16"/>
        <v>-2216.2933475706127</v>
      </c>
    </row>
    <row r="30" spans="1:16" ht="15" thickBot="1" x14ac:dyDescent="0.35">
      <c r="A30" s="77" t="s">
        <v>50</v>
      </c>
      <c r="B30" s="3">
        <v>4079</v>
      </c>
      <c r="C30" s="54">
        <f t="shared" ca="1" si="3"/>
        <v>2.8325157531346206E-4</v>
      </c>
      <c r="D30" s="155">
        <f t="shared" ca="1" si="4"/>
        <v>339.92</v>
      </c>
      <c r="E30" s="168">
        <f t="shared" si="5"/>
        <v>363.983693589469</v>
      </c>
      <c r="F30" s="168">
        <f t="shared" si="6"/>
        <v>366.94550766243668</v>
      </c>
      <c r="G30" s="168">
        <f t="shared" si="7"/>
        <v>369.14716970142467</v>
      </c>
      <c r="H30" s="168">
        <f t="shared" si="8"/>
        <v>369.08581212422592</v>
      </c>
      <c r="I30" s="168">
        <f t="shared" si="9"/>
        <v>366.65759903096574</v>
      </c>
      <c r="J30" s="168">
        <f t="shared" si="10"/>
        <v>369.17649506295896</v>
      </c>
      <c r="K30" s="168">
        <f t="shared" si="11"/>
        <v>366.74272327514848</v>
      </c>
      <c r="L30" s="168">
        <f t="shared" si="12"/>
        <v>375.35724087582929</v>
      </c>
      <c r="M30" s="168">
        <f t="shared" si="13"/>
        <v>370.13862785226786</v>
      </c>
      <c r="N30" s="168">
        <f t="shared" si="14"/>
        <v>368.14469680468011</v>
      </c>
      <c r="O30" s="168">
        <f t="shared" si="15"/>
        <v>368.833995767923</v>
      </c>
      <c r="P30" s="168">
        <f t="shared" si="16"/>
        <v>364.70310491933725</v>
      </c>
    </row>
    <row r="31" spans="1:16" ht="16.2" thickBot="1" x14ac:dyDescent="0.35">
      <c r="A31" s="59" t="s">
        <v>51</v>
      </c>
      <c r="B31" s="62">
        <f>SUM(B13:B30)</f>
        <v>12297156</v>
      </c>
      <c r="C31" s="81">
        <f t="shared" ca="1" si="3"/>
        <v>0.85393204434307235</v>
      </c>
      <c r="D31" s="156">
        <f ca="1">SUM(D13:D30)</f>
        <v>1024763.01</v>
      </c>
      <c r="E31" s="168">
        <f t="shared" si="5"/>
        <v>1097319.0148384161</v>
      </c>
      <c r="F31" s="168">
        <f t="shared" si="6"/>
        <v>1106248.1370983524</v>
      </c>
      <c r="G31" s="168">
        <f t="shared" si="7"/>
        <v>1112885.5927376545</v>
      </c>
      <c r="H31" s="168">
        <f t="shared" si="8"/>
        <v>1112700.6151209357</v>
      </c>
      <c r="I31" s="168">
        <f t="shared" si="9"/>
        <v>1105380.1652045194</v>
      </c>
      <c r="J31" s="168">
        <f t="shared" si="10"/>
        <v>1112974.0013048383</v>
      </c>
      <c r="K31" s="168">
        <f t="shared" si="11"/>
        <v>1105636.7933266319</v>
      </c>
      <c r="L31" s="168">
        <f t="shared" si="12"/>
        <v>1131607.3907280336</v>
      </c>
      <c r="M31" s="168">
        <f t="shared" si="13"/>
        <v>1115874.5889495667</v>
      </c>
      <c r="N31" s="168">
        <f t="shared" si="14"/>
        <v>1109863.3898455142</v>
      </c>
      <c r="O31" s="168">
        <f t="shared" si="15"/>
        <v>1111941.4523318186</v>
      </c>
      <c r="P31" s="168">
        <f t="shared" si="16"/>
        <v>1099487.8585137182</v>
      </c>
    </row>
    <row r="32" spans="1:16" ht="16.2" thickBot="1" x14ac:dyDescent="0.35">
      <c r="A32" s="59" t="s">
        <v>52</v>
      </c>
      <c r="B32" s="62">
        <f>B9-B31</f>
        <v>2103470</v>
      </c>
      <c r="C32" s="83">
        <f ca="1">C9-C31</f>
        <v>0.14606795565692765</v>
      </c>
      <c r="D32" s="156">
        <f ca="1">D9-D31</f>
        <v>175289.15999999992</v>
      </c>
      <c r="E32" s="168">
        <f t="shared" si="5"/>
        <v>187700.11766478064</v>
      </c>
      <c r="F32" s="168">
        <f t="shared" si="6"/>
        <v>189227.47413648092</v>
      </c>
      <c r="G32" s="168">
        <f t="shared" si="7"/>
        <v>190362.83330518648</v>
      </c>
      <c r="H32" s="168">
        <f t="shared" si="8"/>
        <v>190331.1922600994</v>
      </c>
      <c r="I32" s="168">
        <f t="shared" si="9"/>
        <v>189079.00461722614</v>
      </c>
      <c r="J32" s="168">
        <f t="shared" si="10"/>
        <v>190377.95588871837</v>
      </c>
      <c r="K32" s="168">
        <f t="shared" si="11"/>
        <v>189122.90172286748</v>
      </c>
      <c r="L32" s="168">
        <f t="shared" si="12"/>
        <v>193565.2599816329</v>
      </c>
      <c r="M32" s="168">
        <f t="shared" si="13"/>
        <v>190874.11118617549</v>
      </c>
      <c r="N32" s="168">
        <f t="shared" si="14"/>
        <v>189845.87530957104</v>
      </c>
      <c r="O32" s="168">
        <f t="shared" si="15"/>
        <v>190201.33490511225</v>
      </c>
      <c r="P32" s="168">
        <f t="shared" si="16"/>
        <v>188071.10568881544</v>
      </c>
    </row>
    <row r="33" spans="1:16" ht="16.2" thickBot="1" x14ac:dyDescent="0.35">
      <c r="A33" s="169"/>
      <c r="B33" s="165"/>
      <c r="C33" s="170"/>
      <c r="D33" s="171"/>
      <c r="E33" s="172"/>
      <c r="F33" s="172"/>
      <c r="G33" s="172"/>
      <c r="H33" s="172"/>
      <c r="I33" s="172"/>
      <c r="J33" s="172"/>
      <c r="K33" s="172"/>
      <c r="L33" s="172"/>
      <c r="M33" s="172"/>
      <c r="N33" s="172"/>
      <c r="O33" s="172"/>
      <c r="P33" s="172"/>
    </row>
    <row r="34" spans="1:16" ht="16.2" thickBot="1" x14ac:dyDescent="0.35">
      <c r="A34" s="68" t="s">
        <v>136</v>
      </c>
      <c r="B34" s="87"/>
      <c r="C34" s="70"/>
      <c r="D34" s="157"/>
      <c r="E34" s="172"/>
      <c r="F34" s="172"/>
      <c r="G34" s="172"/>
      <c r="H34" s="172"/>
      <c r="I34" s="172"/>
      <c r="J34" s="172"/>
      <c r="K34" s="172"/>
      <c r="L34" s="172"/>
      <c r="M34" s="172"/>
      <c r="N34" s="172"/>
      <c r="O34" s="172"/>
      <c r="P34" s="172"/>
    </row>
    <row r="35" spans="1:16" ht="16.2" thickBot="1" x14ac:dyDescent="0.35">
      <c r="A35" s="73" t="s">
        <v>55</v>
      </c>
      <c r="B35" s="1">
        <v>234682</v>
      </c>
      <c r="C35" s="54">
        <f t="shared" ref="C35:C76" ca="1" si="17">SUM(B35/$C$20)</f>
        <v>1.6296652659405223E-2</v>
      </c>
      <c r="D35" s="155">
        <f t="shared" ref="D35:D76" ca="1" si="18">ROUND(B35/$C$13,2)</f>
        <v>19556.830000000002</v>
      </c>
      <c r="E35" s="168">
        <f t="shared" si="5"/>
        <v>20941.510463094815</v>
      </c>
      <c r="F35" s="168">
        <f t="shared" si="6"/>
        <v>21111.91606502475</v>
      </c>
      <c r="G35" s="168">
        <f t="shared" si="7"/>
        <v>21238.586928136734</v>
      </c>
      <c r="H35" s="168">
        <f t="shared" si="8"/>
        <v>21235.056769045739</v>
      </c>
      <c r="I35" s="168">
        <f t="shared" si="9"/>
        <v>21095.351472367023</v>
      </c>
      <c r="J35" s="168">
        <f t="shared" si="10"/>
        <v>21240.274139339377</v>
      </c>
      <c r="K35" s="168">
        <f t="shared" si="11"/>
        <v>21100.24902761912</v>
      </c>
      <c r="L35" s="168">
        <f t="shared" si="12"/>
        <v>21595.878402358754</v>
      </c>
      <c r="M35" s="168">
        <f t="shared" si="13"/>
        <v>21295.629679241461</v>
      </c>
      <c r="N35" s="168">
        <f t="shared" si="14"/>
        <v>21180.910452443226</v>
      </c>
      <c r="O35" s="168">
        <f t="shared" si="15"/>
        <v>21220.56871655006</v>
      </c>
      <c r="P35" s="168">
        <f t="shared" si="16"/>
        <v>20982.901218112256</v>
      </c>
    </row>
    <row r="36" spans="1:16" ht="16.2" thickBot="1" x14ac:dyDescent="0.35">
      <c r="A36" s="77" t="s">
        <v>56</v>
      </c>
      <c r="B36" s="2">
        <v>45000</v>
      </c>
      <c r="C36" s="54">
        <f t="shared" ca="1" si="17"/>
        <v>3.1248641552110304E-3</v>
      </c>
      <c r="D36" s="155">
        <f t="shared" ca="1" si="18"/>
        <v>3750</v>
      </c>
      <c r="E36" s="168">
        <f t="shared" si="5"/>
        <v>4015.5102259196133</v>
      </c>
      <c r="F36" s="168">
        <f t="shared" si="6"/>
        <v>4048.1853014978306</v>
      </c>
      <c r="G36" s="168">
        <f t="shared" si="7"/>
        <v>4072.4742918764669</v>
      </c>
      <c r="H36" s="168">
        <f t="shared" si="8"/>
        <v>4071.7973879848405</v>
      </c>
      <c r="I36" s="168">
        <f t="shared" si="9"/>
        <v>4045.0090601602005</v>
      </c>
      <c r="J36" s="168">
        <f t="shared" si="10"/>
        <v>4072.7978126582871</v>
      </c>
      <c r="K36" s="168">
        <f t="shared" si="11"/>
        <v>4045.9481606721451</v>
      </c>
      <c r="L36" s="168">
        <f t="shared" si="12"/>
        <v>4140.9845156686242</v>
      </c>
      <c r="M36" s="168">
        <f t="shared" si="13"/>
        <v>4083.4121729227882</v>
      </c>
      <c r="N36" s="168">
        <f t="shared" si="14"/>
        <v>4061.4148948787947</v>
      </c>
      <c r="O36" s="168">
        <f t="shared" si="15"/>
        <v>4069.0193208032688</v>
      </c>
      <c r="P36" s="168">
        <f t="shared" si="16"/>
        <v>4023.4468549571402</v>
      </c>
    </row>
    <row r="37" spans="1:16" ht="15" thickBot="1" x14ac:dyDescent="0.35">
      <c r="A37" s="77" t="s">
        <v>57</v>
      </c>
      <c r="B37" s="3">
        <v>147635</v>
      </c>
      <c r="C37" s="54">
        <f t="shared" ca="1" si="17"/>
        <v>1.0251984878990678E-2</v>
      </c>
      <c r="D37" s="155">
        <f t="shared" ca="1" si="18"/>
        <v>12302.92</v>
      </c>
      <c r="E37" s="168">
        <f t="shared" si="5"/>
        <v>13173.996715636491</v>
      </c>
      <c r="F37" s="168">
        <f t="shared" si="6"/>
        <v>13281.196377480715</v>
      </c>
      <c r="G37" s="168">
        <f t="shared" si="7"/>
        <v>13360.883157359604</v>
      </c>
      <c r="H37" s="168">
        <f t="shared" si="8"/>
        <v>13358.662386114265</v>
      </c>
      <c r="I37" s="168">
        <f t="shared" si="9"/>
        <v>13270.775835483359</v>
      </c>
      <c r="J37" s="168">
        <f t="shared" si="10"/>
        <v>13361.944557151248</v>
      </c>
      <c r="K37" s="168">
        <f t="shared" si="11"/>
        <v>13273.856815574049</v>
      </c>
      <c r="L37" s="168">
        <f t="shared" si="12"/>
        <v>13585.649977127496</v>
      </c>
      <c r="M37" s="168">
        <f t="shared" si="13"/>
        <v>13396.767914432352</v>
      </c>
      <c r="N37" s="168">
        <f t="shared" si="14"/>
        <v>13324.599733454017</v>
      </c>
      <c r="O37" s="168">
        <f t="shared" si="15"/>
        <v>13349.548165039791</v>
      </c>
      <c r="P37" s="168">
        <f t="shared" si="16"/>
        <v>13200.035031813275</v>
      </c>
    </row>
    <row r="38" spans="1:16" ht="15" thickBot="1" x14ac:dyDescent="0.35">
      <c r="A38" s="77" t="s">
        <v>58</v>
      </c>
      <c r="B38" s="3">
        <v>167112</v>
      </c>
      <c r="C38" s="54">
        <f t="shared" ca="1" si="17"/>
        <v>1.1604495526791683E-2</v>
      </c>
      <c r="D38" s="155">
        <f t="shared" ca="1" si="18"/>
        <v>13926</v>
      </c>
      <c r="E38" s="168">
        <f t="shared" si="5"/>
        <v>14911.998774975076</v>
      </c>
      <c r="F38" s="168">
        <f t="shared" si="6"/>
        <v>15033.340935642344</v>
      </c>
      <c r="G38" s="168">
        <f t="shared" si="7"/>
        <v>15123.540530312448</v>
      </c>
      <c r="H38" s="168">
        <f t="shared" si="8"/>
        <v>15121.026780020504</v>
      </c>
      <c r="I38" s="168">
        <f t="shared" si="9"/>
        <v>15021.54564581092</v>
      </c>
      <c r="J38" s="168">
        <f t="shared" si="10"/>
        <v>15124.741957087814</v>
      </c>
      <c r="K38" s="168">
        <f t="shared" si="11"/>
        <v>15025.033089472079</v>
      </c>
      <c r="L38" s="168">
        <f t="shared" si="12"/>
        <v>15377.960097387002</v>
      </c>
      <c r="M38" s="168">
        <f t="shared" si="13"/>
        <v>15164.159445366065</v>
      </c>
      <c r="N38" s="168">
        <f t="shared" si="14"/>
        <v>15082.470353621891</v>
      </c>
      <c r="O38" s="168">
        <f t="shared" si="15"/>
        <v>15110.71014973502</v>
      </c>
      <c r="P38" s="168">
        <f t="shared" si="16"/>
        <v>14941.472240568835</v>
      </c>
    </row>
    <row r="39" spans="1:16" ht="15" thickBot="1" x14ac:dyDescent="0.35">
      <c r="A39" s="77" t="s">
        <v>59</v>
      </c>
      <c r="B39" s="3">
        <v>114112</v>
      </c>
      <c r="C39" s="54">
        <f t="shared" ca="1" si="17"/>
        <v>7.9240999662098018E-3</v>
      </c>
      <c r="D39" s="155">
        <f t="shared" ca="1" si="18"/>
        <v>9509.33</v>
      </c>
      <c r="E39" s="168">
        <f t="shared" si="5"/>
        <v>10182.620064447532</v>
      </c>
      <c r="F39" s="168">
        <f t="shared" si="6"/>
        <v>10265.478247211566</v>
      </c>
      <c r="G39" s="168">
        <f t="shared" si="7"/>
        <v>10327.070808769055</v>
      </c>
      <c r="H39" s="168">
        <f t="shared" si="8"/>
        <v>10325.354300838359</v>
      </c>
      <c r="I39" s="168">
        <f t="shared" si="9"/>
        <v>10257.423863844462</v>
      </c>
      <c r="J39" s="168">
        <f t="shared" si="10"/>
        <v>10327.891199956945</v>
      </c>
      <c r="K39" s="168">
        <f t="shared" si="11"/>
        <v>10259.805255791553</v>
      </c>
      <c r="L39" s="168">
        <f t="shared" si="12"/>
        <v>10500.800556710623</v>
      </c>
      <c r="M39" s="168">
        <f t="shared" si="13"/>
        <v>10354.807330590338</v>
      </c>
      <c r="N39" s="168">
        <f t="shared" si="14"/>
        <v>10299.026144097979</v>
      </c>
      <c r="O39" s="168">
        <f t="shared" si="15"/>
        <v>10318.309616344503</v>
      </c>
      <c r="P39" s="168">
        <f t="shared" si="16"/>
        <v>10202.745944730426</v>
      </c>
    </row>
    <row r="40" spans="1:16" ht="15" thickBot="1" x14ac:dyDescent="0.35">
      <c r="A40" s="79" t="s">
        <v>60</v>
      </c>
      <c r="B40" s="3">
        <v>34116</v>
      </c>
      <c r="C40" s="54">
        <f t="shared" ca="1" si="17"/>
        <v>2.3690636782039893E-3</v>
      </c>
      <c r="D40" s="155">
        <f t="shared" ca="1" si="18"/>
        <v>2843</v>
      </c>
      <c r="E40" s="168">
        <f t="shared" si="5"/>
        <v>3044.2921526105229</v>
      </c>
      <c r="F40" s="168">
        <f t="shared" si="6"/>
        <v>3069.0642165755553</v>
      </c>
      <c r="G40" s="168">
        <f t="shared" si="7"/>
        <v>3087.4785098146122</v>
      </c>
      <c r="H40" s="168">
        <f t="shared" si="8"/>
        <v>3086.9653264109074</v>
      </c>
      <c r="I40" s="168">
        <f t="shared" si="9"/>
        <v>3066.6562021427867</v>
      </c>
      <c r="J40" s="168">
        <f t="shared" si="10"/>
        <v>3087.723781703336</v>
      </c>
      <c r="K40" s="168">
        <f t="shared" si="11"/>
        <v>3067.3681655442424</v>
      </c>
      <c r="L40" s="168">
        <f t="shared" si="12"/>
        <v>3139.4183941455726</v>
      </c>
      <c r="M40" s="168">
        <f t="shared" si="13"/>
        <v>3095.770882031863</v>
      </c>
      <c r="N40" s="168">
        <f t="shared" si="14"/>
        <v>3079.09401230411</v>
      </c>
      <c r="O40" s="168">
        <f t="shared" si="15"/>
        <v>3084.8591810783182</v>
      </c>
      <c r="P40" s="168">
        <f t="shared" si="16"/>
        <v>3050.3091756381732</v>
      </c>
    </row>
    <row r="41" spans="1:16" ht="15" thickBot="1" x14ac:dyDescent="0.35">
      <c r="A41" s="79" t="s">
        <v>61</v>
      </c>
      <c r="B41" s="3">
        <v>16529</v>
      </c>
      <c r="C41" s="54">
        <f t="shared" ca="1" si="17"/>
        <v>1.1477973249218471E-3</v>
      </c>
      <c r="D41" s="155">
        <f t="shared" ca="1" si="18"/>
        <v>1377.42</v>
      </c>
      <c r="E41" s="168">
        <f t="shared" si="5"/>
        <v>1474.9415227605621</v>
      </c>
      <c r="F41" s="168">
        <f t="shared" si="6"/>
        <v>1486.9434410768365</v>
      </c>
      <c r="G41" s="168">
        <f t="shared" si="7"/>
        <v>1495.8650571205806</v>
      </c>
      <c r="H41" s="168">
        <f t="shared" si="8"/>
        <v>1495.6164228000318</v>
      </c>
      <c r="I41" s="168">
        <f t="shared" si="9"/>
        <v>1485.7767723419545</v>
      </c>
      <c r="J41" s="168">
        <f t="shared" si="10"/>
        <v>1495.9838898984185</v>
      </c>
      <c r="K41" s="168">
        <f t="shared" si="11"/>
        <v>1486.1217143944421</v>
      </c>
      <c r="L41" s="168">
        <f t="shared" si="12"/>
        <v>1521.0296235441488</v>
      </c>
      <c r="M41" s="168">
        <f t="shared" si="13"/>
        <v>1499.8826623609059</v>
      </c>
      <c r="N41" s="168">
        <f t="shared" si="14"/>
        <v>1491.8028177211465</v>
      </c>
      <c r="O41" s="168">
        <f t="shared" si="15"/>
        <v>1494.5960078568273</v>
      </c>
      <c r="P41" s="168">
        <f t="shared" si="16"/>
        <v>1477.8567347908127</v>
      </c>
    </row>
    <row r="42" spans="1:16" ht="15" thickBot="1" x14ac:dyDescent="0.35">
      <c r="A42" s="77" t="s">
        <v>62</v>
      </c>
      <c r="B42" s="3">
        <v>32263</v>
      </c>
      <c r="C42" s="54">
        <f t="shared" ca="1" si="17"/>
        <v>2.2403887164349659E-3</v>
      </c>
      <c r="D42" s="155">
        <f t="shared" ca="1" si="18"/>
        <v>2688.58</v>
      </c>
      <c r="E42" s="168">
        <f t="shared" si="5"/>
        <v>2878.942364863211</v>
      </c>
      <c r="F42" s="168">
        <f t="shared" si="6"/>
        <v>2902.3689418272115</v>
      </c>
      <c r="G42" s="168">
        <f t="shared" si="7"/>
        <v>2919.7830684180103</v>
      </c>
      <c r="H42" s="168">
        <f t="shared" si="8"/>
        <v>2919.2977584123314</v>
      </c>
      <c r="I42" s="168">
        <f t="shared" si="9"/>
        <v>2900.0917179544122</v>
      </c>
      <c r="J42" s="168">
        <f t="shared" si="10"/>
        <v>2920.015018439874</v>
      </c>
      <c r="K42" s="168">
        <f t="shared" si="11"/>
        <v>2900.7650112836764</v>
      </c>
      <c r="L42" s="168">
        <f t="shared" si="12"/>
        <v>2968.9018539781514</v>
      </c>
      <c r="M42" s="168">
        <f t="shared" si="13"/>
        <v>2927.625043000176</v>
      </c>
      <c r="N42" s="168">
        <f t="shared" si="14"/>
        <v>2911.8539722994346</v>
      </c>
      <c r="O42" s="168">
        <f t="shared" si="15"/>
        <v>2917.3060077127971</v>
      </c>
      <c r="P42" s="168">
        <f t="shared" si="16"/>
        <v>2884.632575144049</v>
      </c>
    </row>
    <row r="43" spans="1:16" ht="15" thickBot="1" x14ac:dyDescent="0.35">
      <c r="A43" s="77" t="s">
        <v>63</v>
      </c>
      <c r="B43" s="3">
        <v>18076</v>
      </c>
      <c r="C43" s="54">
        <f t="shared" ca="1" si="17"/>
        <v>1.2552232104354353E-3</v>
      </c>
      <c r="D43" s="155">
        <f t="shared" ca="1" si="18"/>
        <v>1506.33</v>
      </c>
      <c r="E43" s="168">
        <f t="shared" si="5"/>
        <v>1612.9858409716207</v>
      </c>
      <c r="F43" s="168">
        <f t="shared" si="6"/>
        <v>1626.1110557749951</v>
      </c>
      <c r="G43" s="168">
        <f t="shared" si="7"/>
        <v>1635.8676733324226</v>
      </c>
      <c r="H43" s="168">
        <f t="shared" si="8"/>
        <v>1635.5957685603105</v>
      </c>
      <c r="I43" s="168">
        <f t="shared" si="9"/>
        <v>1624.8351949212395</v>
      </c>
      <c r="J43" s="168">
        <f t="shared" si="10"/>
        <v>1635.9976280358042</v>
      </c>
      <c r="K43" s="168">
        <f t="shared" si="11"/>
        <v>1625.2124211624377</v>
      </c>
      <c r="L43" s="168">
        <f t="shared" si="12"/>
        <v>1663.3874690050231</v>
      </c>
      <c r="M43" s="168">
        <f t="shared" si="13"/>
        <v>1640.261298616718</v>
      </c>
      <c r="N43" s="168">
        <f t="shared" si="14"/>
        <v>1631.4252364406464</v>
      </c>
      <c r="O43" s="168">
        <f t="shared" si="15"/>
        <v>1634.4798498408863</v>
      </c>
      <c r="P43" s="168">
        <f t="shared" si="16"/>
        <v>1616.173896671228</v>
      </c>
    </row>
    <row r="44" spans="1:16" ht="15" thickBot="1" x14ac:dyDescent="0.35">
      <c r="A44" s="77" t="s">
        <v>64</v>
      </c>
      <c r="B44" s="3">
        <v>15709</v>
      </c>
      <c r="C44" s="54">
        <f t="shared" ca="1" si="17"/>
        <v>1.090855355871335E-3</v>
      </c>
      <c r="D44" s="155">
        <f t="shared" ca="1" si="18"/>
        <v>1309.08</v>
      </c>
      <c r="E44" s="168">
        <f t="shared" si="5"/>
        <v>1401.770003088249</v>
      </c>
      <c r="F44" s="168">
        <f t="shared" si="6"/>
        <v>1413.1765089162093</v>
      </c>
      <c r="G44" s="168">
        <f t="shared" si="7"/>
        <v>1421.6555255797205</v>
      </c>
      <c r="H44" s="168">
        <f t="shared" si="8"/>
        <v>1421.4192259523079</v>
      </c>
      <c r="I44" s="168">
        <f t="shared" si="9"/>
        <v>1412.067718356813</v>
      </c>
      <c r="J44" s="168">
        <f t="shared" si="10"/>
        <v>1421.7684630899785</v>
      </c>
      <c r="K44" s="168">
        <f t="shared" si="11"/>
        <v>1412.3955479110828</v>
      </c>
      <c r="L44" s="168">
        <f t="shared" si="12"/>
        <v>1445.5716834808536</v>
      </c>
      <c r="M44" s="168">
        <f t="shared" si="13"/>
        <v>1425.4738183209795</v>
      </c>
      <c r="N44" s="168">
        <f t="shared" si="14"/>
        <v>1417.7948129700217</v>
      </c>
      <c r="O44" s="168">
        <f t="shared" si="15"/>
        <v>1420.4494335666343</v>
      </c>
      <c r="P44" s="168">
        <f t="shared" si="16"/>
        <v>1404.5405921004824</v>
      </c>
    </row>
    <row r="45" spans="1:16" ht="15" thickBot="1" x14ac:dyDescent="0.35">
      <c r="A45" s="77" t="s">
        <v>65</v>
      </c>
      <c r="B45" s="3">
        <v>19103</v>
      </c>
      <c r="C45" s="54">
        <f t="shared" ca="1" si="17"/>
        <v>1.3265395545999181E-3</v>
      </c>
      <c r="D45" s="155">
        <f t="shared" ca="1" si="18"/>
        <v>1591.92</v>
      </c>
      <c r="E45" s="168">
        <f t="shared" si="5"/>
        <v>1704.6287076831641</v>
      </c>
      <c r="F45" s="168">
        <f t="shared" si="6"/>
        <v>1718.4996403225125</v>
      </c>
      <c r="G45" s="168">
        <f t="shared" si="7"/>
        <v>1728.8105866159144</v>
      </c>
      <c r="H45" s="168">
        <f t="shared" si="8"/>
        <v>1728.5232333927647</v>
      </c>
      <c r="I45" s="168">
        <f t="shared" si="9"/>
        <v>1717.151290583118</v>
      </c>
      <c r="J45" s="168">
        <f t="shared" si="10"/>
        <v>1728.9479247824725</v>
      </c>
      <c r="K45" s="168">
        <f t="shared" si="11"/>
        <v>1717.5499491848889</v>
      </c>
      <c r="L45" s="168">
        <f t="shared" si="12"/>
        <v>1757.8939378403938</v>
      </c>
      <c r="M45" s="168">
        <f t="shared" si="13"/>
        <v>1733.4538386520894</v>
      </c>
      <c r="N45" s="168">
        <f t="shared" si="14"/>
        <v>1724.1157497082136</v>
      </c>
      <c r="O45" s="168">
        <f t="shared" si="15"/>
        <v>1727.3439130067743</v>
      </c>
      <c r="P45" s="168">
        <f t="shared" si="16"/>
        <v>1707.997894894361</v>
      </c>
    </row>
    <row r="46" spans="1:16" ht="15" thickBot="1" x14ac:dyDescent="0.35">
      <c r="A46" s="77" t="s">
        <v>66</v>
      </c>
      <c r="B46" s="3">
        <v>16944</v>
      </c>
      <c r="C46" s="54">
        <f t="shared" ca="1" si="17"/>
        <v>1.1766155165754599E-3</v>
      </c>
      <c r="D46" s="155">
        <f t="shared" ca="1" si="18"/>
        <v>1412</v>
      </c>
      <c r="E46" s="168">
        <f t="shared" si="5"/>
        <v>1511.9734503995985</v>
      </c>
      <c r="F46" s="168">
        <f t="shared" si="6"/>
        <v>1524.2767055239831</v>
      </c>
      <c r="G46" s="168">
        <f t="shared" si="7"/>
        <v>1533.4223200345523</v>
      </c>
      <c r="H46" s="168">
        <f t="shared" si="8"/>
        <v>1533.167443155892</v>
      </c>
      <c r="I46" s="168">
        <f t="shared" si="9"/>
        <v>1523.0807447856541</v>
      </c>
      <c r="J46" s="168">
        <f t="shared" si="10"/>
        <v>1533.5441363929338</v>
      </c>
      <c r="K46" s="168">
        <f t="shared" si="11"/>
        <v>1523.4343474317518</v>
      </c>
      <c r="L46" s="168">
        <f t="shared" si="12"/>
        <v>1559.2187029664258</v>
      </c>
      <c r="M46" s="168">
        <f t="shared" si="13"/>
        <v>1537.5407968445272</v>
      </c>
      <c r="N46" s="168">
        <f t="shared" si="14"/>
        <v>1529.2580884183621</v>
      </c>
      <c r="O46" s="168">
        <f t="shared" si="15"/>
        <v>1532.1214082597908</v>
      </c>
      <c r="P46" s="168">
        <f t="shared" si="16"/>
        <v>1514.9618557865285</v>
      </c>
    </row>
    <row r="47" spans="1:16" ht="15" thickBot="1" x14ac:dyDescent="0.35">
      <c r="A47" s="77" t="s">
        <v>67</v>
      </c>
      <c r="B47" s="3">
        <v>79381</v>
      </c>
      <c r="C47" s="54">
        <f t="shared" ca="1" si="17"/>
        <v>5.5123298112179286E-3</v>
      </c>
      <c r="D47" s="155">
        <f t="shared" ca="1" si="18"/>
        <v>6615.08</v>
      </c>
      <c r="E47" s="168">
        <f t="shared" si="5"/>
        <v>7083.4492720827739</v>
      </c>
      <c r="F47" s="168">
        <f t="shared" si="6"/>
        <v>7141.0888315155398</v>
      </c>
      <c r="G47" s="168">
        <f t="shared" si="7"/>
        <v>7183.9351502987956</v>
      </c>
      <c r="H47" s="168">
        <f t="shared" si="8"/>
        <v>7182.7410767916581</v>
      </c>
      <c r="I47" s="168">
        <f t="shared" si="9"/>
        <v>7135.4858712128189</v>
      </c>
      <c r="J47" s="168">
        <f t="shared" si="10"/>
        <v>7184.505848147277</v>
      </c>
      <c r="K47" s="168">
        <f t="shared" si="11"/>
        <v>7137.1424653847898</v>
      </c>
      <c r="L47" s="168">
        <f t="shared" si="12"/>
        <v>7304.7887075175786</v>
      </c>
      <c r="M47" s="168">
        <f t="shared" si="13"/>
        <v>7203.2298155285298</v>
      </c>
      <c r="N47" s="168">
        <f t="shared" si="14"/>
        <v>7164.4261282305242</v>
      </c>
      <c r="O47" s="168">
        <f t="shared" si="15"/>
        <v>7177.8405045485388</v>
      </c>
      <c r="P47" s="168">
        <f t="shared" si="16"/>
        <v>7097.4496620745049</v>
      </c>
    </row>
    <row r="48" spans="1:16" ht="15" thickBot="1" x14ac:dyDescent="0.35">
      <c r="A48" s="77" t="s">
        <v>68</v>
      </c>
      <c r="B48" s="3">
        <v>28041</v>
      </c>
      <c r="C48" s="54">
        <f t="shared" ca="1" si="17"/>
        <v>1.9472070172505001E-3</v>
      </c>
      <c r="D48" s="155">
        <f t="shared" ca="1" si="18"/>
        <v>2336.75</v>
      </c>
      <c r="E48" s="168">
        <f t="shared" si="5"/>
        <v>2502.198272111375</v>
      </c>
      <c r="F48" s="168">
        <f t="shared" si="6"/>
        <v>2522.5592008733483</v>
      </c>
      <c r="G48" s="168">
        <f t="shared" si="7"/>
        <v>2537.6944804112891</v>
      </c>
      <c r="H48" s="168">
        <f t="shared" si="8"/>
        <v>2537.2726790329539</v>
      </c>
      <c r="I48" s="168">
        <f t="shared" si="9"/>
        <v>2520.5799790211595</v>
      </c>
      <c r="J48" s="168">
        <f t="shared" si="10"/>
        <v>2537.8960769944674</v>
      </c>
      <c r="K48" s="168">
        <f t="shared" si="11"/>
        <v>2521.1651638535027</v>
      </c>
      <c r="L48" s="168">
        <f t="shared" si="12"/>
        <v>2580.3854845303085</v>
      </c>
      <c r="M48" s="168">
        <f t="shared" si="13"/>
        <v>2544.5102386872868</v>
      </c>
      <c r="N48" s="168">
        <f t="shared" si="14"/>
        <v>2530.8030014954729</v>
      </c>
      <c r="O48" s="168">
        <f t="shared" si="15"/>
        <v>2535.5415727698769</v>
      </c>
      <c r="P48" s="168">
        <f t="shared" si="16"/>
        <v>2507.1438502189594</v>
      </c>
    </row>
    <row r="49" spans="1:16" ht="16.2" thickBot="1" x14ac:dyDescent="0.35">
      <c r="A49" s="77" t="s">
        <v>69</v>
      </c>
      <c r="B49" s="2">
        <v>3398</v>
      </c>
      <c r="C49" s="54">
        <f t="shared" ca="1" si="17"/>
        <v>2.3596196443126846E-4</v>
      </c>
      <c r="D49" s="155">
        <f t="shared" ca="1" si="18"/>
        <v>283.17</v>
      </c>
      <c r="E49" s="168">
        <f t="shared" si="5"/>
        <v>303.21563883721882</v>
      </c>
      <c r="F49" s="168">
        <f t="shared" si="6"/>
        <v>305.68297009976953</v>
      </c>
      <c r="G49" s="168">
        <f t="shared" si="7"/>
        <v>307.51705875102743</v>
      </c>
      <c r="H49" s="168">
        <f t="shared" si="8"/>
        <v>307.46594498605532</v>
      </c>
      <c r="I49" s="168">
        <f t="shared" si="9"/>
        <v>305.44312858720804</v>
      </c>
      <c r="J49" s="168">
        <f t="shared" si="10"/>
        <v>307.54148816473025</v>
      </c>
      <c r="K49" s="168">
        <f t="shared" si="11"/>
        <v>305.51404111031002</v>
      </c>
      <c r="L49" s="168">
        <f t="shared" si="12"/>
        <v>312.69034187204409</v>
      </c>
      <c r="M49" s="168">
        <f t="shared" si="13"/>
        <v>308.34299030203636</v>
      </c>
      <c r="N49" s="168">
        <f t="shared" si="14"/>
        <v>306.68195139551432</v>
      </c>
      <c r="O49" s="168">
        <f t="shared" si="15"/>
        <v>307.25617004643351</v>
      </c>
      <c r="P49" s="168">
        <f t="shared" si="16"/>
        <v>303.81494251431917</v>
      </c>
    </row>
    <row r="50" spans="1:16" ht="15" thickBot="1" x14ac:dyDescent="0.35">
      <c r="A50" s="77" t="s">
        <v>70</v>
      </c>
      <c r="B50" s="3">
        <v>2696</v>
      </c>
      <c r="C50" s="54">
        <f t="shared" ca="1" si="17"/>
        <v>1.8721408360997639E-4</v>
      </c>
      <c r="D50" s="155">
        <f t="shared" ca="1" si="18"/>
        <v>224.67</v>
      </c>
      <c r="E50" s="168">
        <f t="shared" si="5"/>
        <v>240.57367931287283</v>
      </c>
      <c r="F50" s="168">
        <f t="shared" si="6"/>
        <v>242.53127939640336</v>
      </c>
      <c r="G50" s="168">
        <f t="shared" si="7"/>
        <v>243.98645979775455</v>
      </c>
      <c r="H50" s="168">
        <f t="shared" si="8"/>
        <v>243.94590573349177</v>
      </c>
      <c r="I50" s="168">
        <f t="shared" si="9"/>
        <v>242.34098724870887</v>
      </c>
      <c r="J50" s="168">
        <f t="shared" si="10"/>
        <v>244.00584228726092</v>
      </c>
      <c r="K50" s="168">
        <f t="shared" si="11"/>
        <v>242.39724980382451</v>
      </c>
      <c r="L50" s="168">
        <f t="shared" si="12"/>
        <v>248.09098342761354</v>
      </c>
      <c r="M50" s="168">
        <f t="shared" si="13"/>
        <v>244.64176040444082</v>
      </c>
      <c r="N50" s="168">
        <f t="shared" si="14"/>
        <v>243.3238790354051</v>
      </c>
      <c r="O50" s="168">
        <f t="shared" si="15"/>
        <v>243.7794686419025</v>
      </c>
      <c r="P50" s="168">
        <f t="shared" si="16"/>
        <v>241.04917157698776</v>
      </c>
    </row>
    <row r="51" spans="1:16" ht="15" thickBot="1" x14ac:dyDescent="0.35">
      <c r="A51" s="77" t="s">
        <v>71</v>
      </c>
      <c r="B51" s="3">
        <v>23000</v>
      </c>
      <c r="C51" s="54">
        <f t="shared" ca="1" si="17"/>
        <v>1.5971527904411933E-3</v>
      </c>
      <c r="D51" s="155">
        <f t="shared" ca="1" si="18"/>
        <v>1916.67</v>
      </c>
      <c r="E51" s="168">
        <f t="shared" si="5"/>
        <v>2052.3718932478027</v>
      </c>
      <c r="F51" s="168">
        <f t="shared" si="6"/>
        <v>2069.0724874322245</v>
      </c>
      <c r="G51" s="168">
        <f t="shared" si="7"/>
        <v>2081.4868602924166</v>
      </c>
      <c r="H51" s="168">
        <f t="shared" si="8"/>
        <v>2081.1408871922522</v>
      </c>
      <c r="I51" s="168">
        <f t="shared" si="9"/>
        <v>2067.4490751929916</v>
      </c>
      <c r="J51" s="168">
        <f t="shared" si="10"/>
        <v>2081.6522153586802</v>
      </c>
      <c r="K51" s="168">
        <f t="shared" si="11"/>
        <v>2067.9290598990965</v>
      </c>
      <c r="L51" s="168">
        <f t="shared" si="12"/>
        <v>2116.5031968972967</v>
      </c>
      <c r="M51" s="168">
        <f t="shared" si="13"/>
        <v>2087.077332827203</v>
      </c>
      <c r="N51" s="168">
        <f t="shared" si="14"/>
        <v>2075.8342796047173</v>
      </c>
      <c r="O51" s="168">
        <f t="shared" si="15"/>
        <v>2079.7209861883375</v>
      </c>
      <c r="P51" s="168">
        <f t="shared" si="16"/>
        <v>2056.4283925336495</v>
      </c>
    </row>
    <row r="52" spans="1:16" ht="15" thickBot="1" x14ac:dyDescent="0.35">
      <c r="A52" s="77" t="s">
        <v>72</v>
      </c>
      <c r="B52" s="3">
        <v>8796</v>
      </c>
      <c r="C52" s="54">
        <f t="shared" ca="1" si="17"/>
        <v>6.1080678020524945E-4</v>
      </c>
      <c r="D52" s="155">
        <f t="shared" ca="1" si="18"/>
        <v>733</v>
      </c>
      <c r="E52" s="168">
        <f t="shared" si="5"/>
        <v>784.89839882642048</v>
      </c>
      <c r="F52" s="168">
        <f t="shared" si="6"/>
        <v>791.28528693277599</v>
      </c>
      <c r="G52" s="168">
        <f t="shared" si="7"/>
        <v>796.03297491878675</v>
      </c>
      <c r="H52" s="168">
        <f t="shared" si="8"/>
        <v>795.90066277143683</v>
      </c>
      <c r="I52" s="168">
        <f t="shared" si="9"/>
        <v>790.66443762598055</v>
      </c>
      <c r="J52" s="168">
        <f t="shared" si="10"/>
        <v>796.09621244760649</v>
      </c>
      <c r="K52" s="168">
        <f t="shared" si="11"/>
        <v>790.8480004727154</v>
      </c>
      <c r="L52" s="168">
        <f t="shared" si="12"/>
        <v>809.42443999602699</v>
      </c>
      <c r="M52" s="168">
        <f t="shared" si="13"/>
        <v>798.17096606730763</v>
      </c>
      <c r="N52" s="168">
        <f t="shared" si="14"/>
        <v>793.87123145230839</v>
      </c>
      <c r="O52" s="168">
        <f t="shared" si="15"/>
        <v>795.35764323967896</v>
      </c>
      <c r="P52" s="168">
        <f t="shared" si="16"/>
        <v>786.44974524895565</v>
      </c>
    </row>
    <row r="53" spans="1:16" ht="15" thickBot="1" x14ac:dyDescent="0.35">
      <c r="A53" s="77" t="s">
        <v>73</v>
      </c>
      <c r="B53" s="3">
        <v>48149</v>
      </c>
      <c r="C53" s="54">
        <f t="shared" ca="1" si="17"/>
        <v>3.3435352046501314E-3</v>
      </c>
      <c r="D53" s="155">
        <f t="shared" ca="1" si="18"/>
        <v>4012.42</v>
      </c>
      <c r="E53" s="168">
        <f t="shared" si="5"/>
        <v>4296.5067081734105</v>
      </c>
      <c r="F53" s="168">
        <f t="shared" si="6"/>
        <v>4331.4683129293117</v>
      </c>
      <c r="G53" s="168">
        <f t="shared" si="7"/>
        <v>4357.4569928791116</v>
      </c>
      <c r="H53" s="168">
        <f t="shared" si="8"/>
        <v>4356.7327207573799</v>
      </c>
      <c r="I53" s="168">
        <f t="shared" si="9"/>
        <v>4328.0698052811886</v>
      </c>
      <c r="J53" s="168">
        <f t="shared" si="10"/>
        <v>4357.803152926308</v>
      </c>
      <c r="K53" s="168">
        <f t="shared" si="11"/>
        <v>4329.0746219600696</v>
      </c>
      <c r="L53" s="168">
        <f t="shared" si="12"/>
        <v>4430.7614098873019</v>
      </c>
      <c r="M53" s="168">
        <f t="shared" si="13"/>
        <v>4369.1602825346517</v>
      </c>
      <c r="N53" s="168">
        <f t="shared" si="14"/>
        <v>4345.6236838559789</v>
      </c>
      <c r="O53" s="168">
        <f t="shared" si="15"/>
        <v>4353.7602506079238</v>
      </c>
      <c r="P53" s="168">
        <f t="shared" si="16"/>
        <v>4304.9987248740299</v>
      </c>
    </row>
    <row r="54" spans="1:16" ht="15" thickBot="1" x14ac:dyDescent="0.35">
      <c r="A54" s="77" t="s">
        <v>74</v>
      </c>
      <c r="B54" s="3">
        <v>38115</v>
      </c>
      <c r="C54" s="54">
        <f t="shared" ca="1" si="17"/>
        <v>2.6467599394637427E-3</v>
      </c>
      <c r="D54" s="155">
        <f t="shared" ca="1" si="18"/>
        <v>3176.25</v>
      </c>
      <c r="E54" s="168">
        <f t="shared" si="5"/>
        <v>3401.1371613539127</v>
      </c>
      <c r="F54" s="168">
        <f t="shared" si="6"/>
        <v>3428.8129503686623</v>
      </c>
      <c r="G54" s="168">
        <f t="shared" si="7"/>
        <v>3449.3857252193675</v>
      </c>
      <c r="H54" s="168">
        <f t="shared" si="8"/>
        <v>3448.8123876231602</v>
      </c>
      <c r="I54" s="168">
        <f t="shared" si="9"/>
        <v>3426.1226739556896</v>
      </c>
      <c r="J54" s="168">
        <f t="shared" si="10"/>
        <v>3449.6597473215693</v>
      </c>
      <c r="K54" s="168">
        <f t="shared" si="11"/>
        <v>3426.9180920893073</v>
      </c>
      <c r="L54" s="168">
        <f t="shared" si="12"/>
        <v>3507.4138847713243</v>
      </c>
      <c r="M54" s="168">
        <f t="shared" si="13"/>
        <v>3458.6501104656018</v>
      </c>
      <c r="N54" s="168">
        <f t="shared" si="14"/>
        <v>3440.0184159623391</v>
      </c>
      <c r="O54" s="168">
        <f t="shared" si="15"/>
        <v>3446.4593647203687</v>
      </c>
      <c r="P54" s="168">
        <f t="shared" si="16"/>
        <v>3407.8594861486977</v>
      </c>
    </row>
    <row r="55" spans="1:16" ht="15" thickBot="1" x14ac:dyDescent="0.35">
      <c r="A55" s="77" t="s">
        <v>75</v>
      </c>
      <c r="B55" s="3">
        <v>35407</v>
      </c>
      <c r="C55" s="54">
        <f t="shared" ca="1" si="17"/>
        <v>2.4587125587457099E-3</v>
      </c>
      <c r="D55" s="155">
        <f t="shared" ca="1" si="18"/>
        <v>2950.58</v>
      </c>
      <c r="E55" s="168">
        <f t="shared" si="5"/>
        <v>3159.4926793141281</v>
      </c>
      <c r="F55" s="168">
        <f t="shared" si="6"/>
        <v>3185.2021548918597</v>
      </c>
      <c r="G55" s="168">
        <f t="shared" si="7"/>
        <v>3204.3132722771129</v>
      </c>
      <c r="H55" s="168">
        <f t="shared" si="8"/>
        <v>3203.7806692528725</v>
      </c>
      <c r="I55" s="168">
        <f t="shared" si="9"/>
        <v>3182.7030176242715</v>
      </c>
      <c r="J55" s="168">
        <f t="shared" si="10"/>
        <v>3204.5678256175993</v>
      </c>
      <c r="K55" s="168">
        <f t="shared" si="11"/>
        <v>3183.4419227759704</v>
      </c>
      <c r="L55" s="168">
        <f t="shared" si="12"/>
        <v>3258.2186388061996</v>
      </c>
      <c r="M55" s="168">
        <f t="shared" si="13"/>
        <v>3212.9194401483815</v>
      </c>
      <c r="N55" s="168">
        <f t="shared" si="14"/>
        <v>3195.6114929549663</v>
      </c>
      <c r="O55" s="168">
        <f t="shared" si="15"/>
        <v>3201.5948242595855</v>
      </c>
      <c r="P55" s="168">
        <f t="shared" si="16"/>
        <v>3165.7373954103882</v>
      </c>
    </row>
    <row r="56" spans="1:16" ht="15" thickBot="1" x14ac:dyDescent="0.35">
      <c r="A56" s="77" t="s">
        <v>76</v>
      </c>
      <c r="B56" s="3">
        <v>20944</v>
      </c>
      <c r="C56" s="54">
        <f t="shared" ca="1" si="17"/>
        <v>1.4543812192608849E-3</v>
      </c>
      <c r="D56" s="155">
        <f t="shared" ca="1" si="18"/>
        <v>1745.33</v>
      </c>
      <c r="E56" s="168">
        <f t="shared" si="5"/>
        <v>1868.907692703564</v>
      </c>
      <c r="F56" s="168">
        <f t="shared" si="6"/>
        <v>1884.1153989904569</v>
      </c>
      <c r="G56" s="168">
        <f t="shared" si="7"/>
        <v>1895.420034868016</v>
      </c>
      <c r="H56" s="168">
        <f t="shared" si="8"/>
        <v>1895.1049887545444</v>
      </c>
      <c r="I56" s="168">
        <f t="shared" si="9"/>
        <v>1882.6371056887829</v>
      </c>
      <c r="J56" s="168">
        <f t="shared" si="10"/>
        <v>1895.5706086292257</v>
      </c>
      <c r="K56" s="168">
        <f t="shared" si="11"/>
        <v>1883.0741839359423</v>
      </c>
      <c r="L56" s="168">
        <f t="shared" si="12"/>
        <v>1927.3062154703034</v>
      </c>
      <c r="M56" s="168">
        <f t="shared" si="13"/>
        <v>1900.5107677709971</v>
      </c>
      <c r="N56" s="168">
        <f t="shared" si="14"/>
        <v>1890.2727457409214</v>
      </c>
      <c r="O56" s="168">
        <f t="shared" si="15"/>
        <v>1893.8120145534147</v>
      </c>
      <c r="P56" s="168">
        <f t="shared" si="16"/>
        <v>1872.6015762271632</v>
      </c>
    </row>
    <row r="57" spans="1:16" ht="15" thickBot="1" x14ac:dyDescent="0.35">
      <c r="A57" s="77" t="s">
        <v>77</v>
      </c>
      <c r="B57" s="3">
        <v>19669</v>
      </c>
      <c r="C57" s="54">
        <f t="shared" ca="1" si="17"/>
        <v>1.3658434015299057E-3</v>
      </c>
      <c r="D57" s="155">
        <f t="shared" ca="1" si="18"/>
        <v>1639.08</v>
      </c>
      <c r="E57" s="168">
        <f t="shared" si="5"/>
        <v>1755.1349029691751</v>
      </c>
      <c r="F57" s="168">
        <f t="shared" si="6"/>
        <v>1769.4168154480183</v>
      </c>
      <c r="G57" s="168">
        <f t="shared" si="7"/>
        <v>1780.0332632648494</v>
      </c>
      <c r="H57" s="168">
        <f t="shared" si="8"/>
        <v>1779.737396094974</v>
      </c>
      <c r="I57" s="168">
        <f t="shared" si="9"/>
        <v>1768.0285156509105</v>
      </c>
      <c r="J57" s="168">
        <f t="shared" si="10"/>
        <v>1780.1746706039075</v>
      </c>
      <c r="K57" s="168">
        <f t="shared" si="11"/>
        <v>1768.4389860502317</v>
      </c>
      <c r="L57" s="168">
        <f t="shared" si="12"/>
        <v>1809.9783208596925</v>
      </c>
      <c r="M57" s="168">
        <f t="shared" si="13"/>
        <v>1784.8140895381848</v>
      </c>
      <c r="N57" s="168">
        <f t="shared" si="14"/>
        <v>1775.1993237193558</v>
      </c>
      <c r="O57" s="168">
        <f t="shared" si="15"/>
        <v>1778.5231337973221</v>
      </c>
      <c r="P57" s="168">
        <f t="shared" si="16"/>
        <v>1758.6039153367108</v>
      </c>
    </row>
    <row r="58" spans="1:16" ht="16.2" thickBot="1" x14ac:dyDescent="0.35">
      <c r="A58" s="77" t="s">
        <v>78</v>
      </c>
      <c r="B58" s="2">
        <v>13197</v>
      </c>
      <c r="C58" s="54">
        <f t="shared" ca="1" si="17"/>
        <v>9.1641849458488813E-4</v>
      </c>
      <c r="D58" s="155">
        <f t="shared" ca="1" si="18"/>
        <v>1099.75</v>
      </c>
      <c r="E58" s="168">
        <f t="shared" si="5"/>
        <v>1177.6152989213585</v>
      </c>
      <c r="F58" s="168">
        <f t="shared" si="6"/>
        <v>1187.1978094192639</v>
      </c>
      <c r="G58" s="168">
        <f t="shared" si="7"/>
        <v>1194.3209606643052</v>
      </c>
      <c r="H58" s="168">
        <f t="shared" si="8"/>
        <v>1194.1224473163543</v>
      </c>
      <c r="I58" s="168">
        <f t="shared" si="9"/>
        <v>1186.2663237096481</v>
      </c>
      <c r="J58" s="168">
        <f t="shared" si="10"/>
        <v>1194.4158385255869</v>
      </c>
      <c r="K58" s="168">
        <f t="shared" si="11"/>
        <v>1186.5417305864512</v>
      </c>
      <c r="L58" s="168">
        <f t="shared" si="12"/>
        <v>1214.4127256284185</v>
      </c>
      <c r="M58" s="168">
        <f t="shared" si="13"/>
        <v>1197.5286765791564</v>
      </c>
      <c r="N58" s="168">
        <f t="shared" si="14"/>
        <v>1191.0776081714546</v>
      </c>
      <c r="O58" s="168">
        <f t="shared" si="15"/>
        <v>1193.3077328142385</v>
      </c>
      <c r="P58" s="168">
        <f t="shared" si="16"/>
        <v>1179.942847663764</v>
      </c>
    </row>
    <row r="59" spans="1:16" ht="15" thickBot="1" x14ac:dyDescent="0.35">
      <c r="A59" s="77" t="s">
        <v>79</v>
      </c>
      <c r="B59" s="3">
        <v>13197</v>
      </c>
      <c r="C59" s="54">
        <f t="shared" ca="1" si="17"/>
        <v>9.1641849458488813E-4</v>
      </c>
      <c r="D59" s="155">
        <f t="shared" ca="1" si="18"/>
        <v>1099.75</v>
      </c>
      <c r="E59" s="168">
        <f t="shared" si="5"/>
        <v>1177.6152989213585</v>
      </c>
      <c r="F59" s="168">
        <f t="shared" si="6"/>
        <v>1187.1978094192639</v>
      </c>
      <c r="G59" s="168">
        <f t="shared" si="7"/>
        <v>1194.3209606643052</v>
      </c>
      <c r="H59" s="168">
        <f t="shared" si="8"/>
        <v>1194.1224473163543</v>
      </c>
      <c r="I59" s="168">
        <f t="shared" si="9"/>
        <v>1186.2663237096481</v>
      </c>
      <c r="J59" s="168">
        <f t="shared" si="10"/>
        <v>1194.4158385255869</v>
      </c>
      <c r="K59" s="168">
        <f t="shared" si="11"/>
        <v>1186.5417305864512</v>
      </c>
      <c r="L59" s="168">
        <f t="shared" si="12"/>
        <v>1214.4127256284185</v>
      </c>
      <c r="M59" s="168">
        <f t="shared" si="13"/>
        <v>1197.5286765791564</v>
      </c>
      <c r="N59" s="168">
        <f t="shared" si="14"/>
        <v>1191.0776081714546</v>
      </c>
      <c r="O59" s="168">
        <f t="shared" si="15"/>
        <v>1193.3077328142385</v>
      </c>
      <c r="P59" s="168">
        <f t="shared" si="16"/>
        <v>1179.942847663764</v>
      </c>
    </row>
    <row r="60" spans="1:16" ht="15" thickBot="1" x14ac:dyDescent="0.35">
      <c r="A60" s="79" t="s">
        <v>80</v>
      </c>
      <c r="B60" s="3">
        <v>22425</v>
      </c>
      <c r="C60" s="54">
        <f t="shared" ca="1" si="17"/>
        <v>1.5572239706801636E-3</v>
      </c>
      <c r="D60" s="155">
        <f t="shared" ca="1" si="18"/>
        <v>1868.75</v>
      </c>
      <c r="E60" s="168">
        <f t="shared" si="5"/>
        <v>2001.0625959166073</v>
      </c>
      <c r="F60" s="168">
        <f t="shared" si="6"/>
        <v>2017.345675246419</v>
      </c>
      <c r="G60" s="168">
        <f t="shared" si="7"/>
        <v>2029.449688785106</v>
      </c>
      <c r="H60" s="168">
        <f t="shared" si="8"/>
        <v>2029.1123650124457</v>
      </c>
      <c r="I60" s="168">
        <f t="shared" si="9"/>
        <v>2015.7628483131666</v>
      </c>
      <c r="J60" s="168">
        <f t="shared" si="10"/>
        <v>2029.610909974713</v>
      </c>
      <c r="K60" s="168">
        <f t="shared" si="11"/>
        <v>2016.2308334016191</v>
      </c>
      <c r="L60" s="168">
        <f t="shared" si="12"/>
        <v>2063.5906169748641</v>
      </c>
      <c r="M60" s="168">
        <f t="shared" si="13"/>
        <v>2034.9003995065227</v>
      </c>
      <c r="N60" s="168">
        <f t="shared" si="14"/>
        <v>2023.9384226145992</v>
      </c>
      <c r="O60" s="168">
        <f t="shared" si="15"/>
        <v>2027.727961533629</v>
      </c>
      <c r="P60" s="168">
        <f t="shared" si="16"/>
        <v>2005.0176827203081</v>
      </c>
    </row>
    <row r="61" spans="1:16" ht="15" thickBot="1" x14ac:dyDescent="0.35">
      <c r="A61" s="77" t="s">
        <v>81</v>
      </c>
      <c r="B61" s="3">
        <v>77494</v>
      </c>
      <c r="C61" s="54">
        <f t="shared" ca="1" si="17"/>
        <v>5.3812938409760801E-3</v>
      </c>
      <c r="D61" s="155">
        <f t="shared" ca="1" si="18"/>
        <v>6457.83</v>
      </c>
      <c r="E61" s="168">
        <f t="shared" si="5"/>
        <v>6915.0655432758776</v>
      </c>
      <c r="F61" s="168">
        <f t="shared" si="6"/>
        <v>6971.3349278727301</v>
      </c>
      <c r="G61" s="168">
        <f t="shared" si="7"/>
        <v>7013.1627283261096</v>
      </c>
      <c r="H61" s="168">
        <f t="shared" si="8"/>
        <v>7011.9970396554936</v>
      </c>
      <c r="I61" s="168">
        <f t="shared" si="9"/>
        <v>6965.8651579567677</v>
      </c>
      <c r="J61" s="168">
        <f t="shared" si="10"/>
        <v>7013.719859869806</v>
      </c>
      <c r="K61" s="168">
        <f t="shared" si="11"/>
        <v>6967.4823725139386</v>
      </c>
      <c r="L61" s="168">
        <f t="shared" si="12"/>
        <v>7131.1434234938743</v>
      </c>
      <c r="M61" s="168">
        <f t="shared" si="13"/>
        <v>7031.9987317439673</v>
      </c>
      <c r="N61" s="168">
        <f t="shared" si="14"/>
        <v>6994.1174636386068</v>
      </c>
      <c r="O61" s="168">
        <f t="shared" si="15"/>
        <v>7007.2129610295224</v>
      </c>
      <c r="P61" s="168">
        <f t="shared" si="16"/>
        <v>6928.7331239566356</v>
      </c>
    </row>
    <row r="62" spans="1:16" ht="15" thickBot="1" x14ac:dyDescent="0.35">
      <c r="A62" s="77" t="s">
        <v>82</v>
      </c>
      <c r="B62" s="3">
        <v>14707</v>
      </c>
      <c r="C62" s="54">
        <f t="shared" ca="1" si="17"/>
        <v>1.0212750473486362E-3</v>
      </c>
      <c r="D62" s="155">
        <f t="shared" ca="1" si="18"/>
        <v>1225.58</v>
      </c>
      <c r="E62" s="168">
        <f t="shared" si="5"/>
        <v>1312.3579753911056</v>
      </c>
      <c r="F62" s="168">
        <f t="shared" si="6"/>
        <v>1323.0369162028576</v>
      </c>
      <c r="G62" s="168">
        <f t="shared" si="7"/>
        <v>1330.9750980139377</v>
      </c>
      <c r="H62" s="168">
        <f t="shared" si="8"/>
        <v>1330.7538707798456</v>
      </c>
      <c r="I62" s="168">
        <f t="shared" si="9"/>
        <v>1321.9988499505791</v>
      </c>
      <c r="J62" s="168">
        <f t="shared" si="10"/>
        <v>1331.0808317947872</v>
      </c>
      <c r="K62" s="168">
        <f t="shared" si="11"/>
        <v>1322.305768866783</v>
      </c>
      <c r="L62" s="168">
        <f t="shared" si="12"/>
        <v>1353.3657615986322</v>
      </c>
      <c r="M62" s="168">
        <f t="shared" si="13"/>
        <v>1334.5498406038987</v>
      </c>
      <c r="N62" s="168">
        <f t="shared" si="14"/>
        <v>1327.3606413107207</v>
      </c>
      <c r="O62" s="168">
        <f t="shared" si="15"/>
        <v>1329.8459366900815</v>
      </c>
      <c r="P62" s="168">
        <f t="shared" si="16"/>
        <v>1314.9518421301034</v>
      </c>
    </row>
    <row r="63" spans="1:16" ht="15" thickBot="1" x14ac:dyDescent="0.35">
      <c r="A63" s="77" t="s">
        <v>83</v>
      </c>
      <c r="B63" s="3">
        <v>86063</v>
      </c>
      <c r="C63" s="54">
        <f t="shared" ca="1" si="17"/>
        <v>5.9763374175539315E-3</v>
      </c>
      <c r="D63" s="155">
        <f t="shared" ca="1" si="18"/>
        <v>7171.92</v>
      </c>
      <c r="E63" s="168">
        <f t="shared" si="5"/>
        <v>7679.7079238515489</v>
      </c>
      <c r="F63" s="168">
        <f t="shared" si="6"/>
        <v>7742.1993689512847</v>
      </c>
      <c r="G63" s="168">
        <f t="shared" si="7"/>
        <v>7788.6523329280972</v>
      </c>
      <c r="H63" s="168">
        <f t="shared" si="8"/>
        <v>7787.3577467142077</v>
      </c>
      <c r="I63" s="168">
        <f t="shared" si="9"/>
        <v>7736.1247721014961</v>
      </c>
      <c r="J63" s="168">
        <f t="shared" si="10"/>
        <v>7789.2710700180041</v>
      </c>
      <c r="K63" s="168">
        <f t="shared" si="11"/>
        <v>7737.9208122650416</v>
      </c>
      <c r="L63" s="168">
        <f t="shared" si="12"/>
        <v>7919.6788971553069</v>
      </c>
      <c r="M63" s="168">
        <f t="shared" si="13"/>
        <v>7809.5711519611987</v>
      </c>
      <c r="N63" s="168">
        <f t="shared" si="14"/>
        <v>7767.5011132878599</v>
      </c>
      <c r="O63" s="168">
        <f t="shared" si="15"/>
        <v>7782.0446623620383</v>
      </c>
      <c r="P63" s="168">
        <f t="shared" si="16"/>
        <v>7694.8868150705857</v>
      </c>
    </row>
    <row r="64" spans="1:16" ht="15" thickBot="1" x14ac:dyDescent="0.35">
      <c r="A64" s="77" t="s">
        <v>84</v>
      </c>
      <c r="B64" s="3">
        <v>44723</v>
      </c>
      <c r="C64" s="54">
        <f t="shared" ca="1" si="17"/>
        <v>3.1056288803000646E-3</v>
      </c>
      <c r="D64" s="155">
        <f t="shared" ca="1" si="18"/>
        <v>3726.92</v>
      </c>
      <c r="E64" s="168">
        <f t="shared" si="5"/>
        <v>3990.7925296400635</v>
      </c>
      <c r="F64" s="168">
        <f t="shared" si="6"/>
        <v>4023.266471975277</v>
      </c>
      <c r="G64" s="168">
        <f t="shared" si="7"/>
        <v>4047.4059501242496</v>
      </c>
      <c r="H64" s="168">
        <f t="shared" si="8"/>
        <v>4046.7332129521337</v>
      </c>
      <c r="I64" s="168">
        <f t="shared" si="9"/>
        <v>4020.1097821676585</v>
      </c>
      <c r="J64" s="168">
        <f t="shared" si="10"/>
        <v>4047.7274794559235</v>
      </c>
      <c r="K64" s="168">
        <f t="shared" si="11"/>
        <v>4021.0431019942298</v>
      </c>
      <c r="L64" s="168">
        <f t="shared" si="12"/>
        <v>4115.4944554277299</v>
      </c>
      <c r="M64" s="168">
        <f t="shared" si="13"/>
        <v>4058.2765024361302</v>
      </c>
      <c r="N64" s="168">
        <f t="shared" si="14"/>
        <v>4036.4146298592073</v>
      </c>
      <c r="O64" s="168">
        <f t="shared" si="15"/>
        <v>4043.9722463174353</v>
      </c>
      <c r="P64" s="168">
        <f t="shared" si="16"/>
        <v>3998.680304316626</v>
      </c>
    </row>
    <row r="65" spans="1:16" ht="15" thickBot="1" x14ac:dyDescent="0.35">
      <c r="A65" s="77" t="s">
        <v>85</v>
      </c>
      <c r="B65" s="3">
        <v>32559</v>
      </c>
      <c r="C65" s="54">
        <f t="shared" ca="1" si="17"/>
        <v>2.2609433784336877E-3</v>
      </c>
      <c r="D65" s="155">
        <f t="shared" ca="1" si="18"/>
        <v>2713.25</v>
      </c>
      <c r="E65" s="168">
        <f t="shared" si="5"/>
        <v>2905.3554987937046</v>
      </c>
      <c r="F65" s="168">
        <f t="shared" si="6"/>
        <v>2928.9970051437303</v>
      </c>
      <c r="G65" s="168">
        <f t="shared" si="7"/>
        <v>2946.5708993156863</v>
      </c>
      <c r="H65" s="168">
        <f t="shared" si="8"/>
        <v>2946.0811367866318</v>
      </c>
      <c r="I65" s="168">
        <f t="shared" si="9"/>
        <v>2926.6988886612435</v>
      </c>
      <c r="J65" s="168">
        <f t="shared" si="10"/>
        <v>2946.8049773853591</v>
      </c>
      <c r="K65" s="168">
        <f t="shared" si="11"/>
        <v>2927.378359184986</v>
      </c>
      <c r="L65" s="168">
        <f t="shared" si="12"/>
        <v>2996.1403299034382</v>
      </c>
      <c r="M65" s="168">
        <f t="shared" si="13"/>
        <v>2954.4848208487347</v>
      </c>
      <c r="N65" s="168">
        <f t="shared" si="14"/>
        <v>2938.5690569413036</v>
      </c>
      <c r="O65" s="168">
        <f t="shared" si="15"/>
        <v>2944.0711125785251</v>
      </c>
      <c r="P65" s="168">
        <f t="shared" si="16"/>
        <v>2911.0979144566559</v>
      </c>
    </row>
    <row r="66" spans="1:16" ht="15" thickBot="1" x14ac:dyDescent="0.35">
      <c r="A66" s="77" t="s">
        <v>86</v>
      </c>
      <c r="B66" s="3">
        <v>20769</v>
      </c>
      <c r="C66" s="54">
        <f t="shared" ca="1" si="17"/>
        <v>1.4422289697683976E-3</v>
      </c>
      <c r="D66" s="155">
        <f t="shared" ca="1" si="18"/>
        <v>1730.75</v>
      </c>
      <c r="E66" s="168">
        <f t="shared" si="5"/>
        <v>1853.2918196027656</v>
      </c>
      <c r="F66" s="168">
        <f t="shared" si="6"/>
        <v>1868.3724561512988</v>
      </c>
      <c r="G66" s="168">
        <f t="shared" si="7"/>
        <v>1879.5826348440521</v>
      </c>
      <c r="H66" s="168">
        <f t="shared" si="8"/>
        <v>1879.2702211346034</v>
      </c>
      <c r="I66" s="168">
        <f t="shared" si="9"/>
        <v>1866.9065148992711</v>
      </c>
      <c r="J66" s="168">
        <f t="shared" si="10"/>
        <v>1879.731950468888</v>
      </c>
      <c r="K66" s="168">
        <f t="shared" si="11"/>
        <v>1867.3399410888842</v>
      </c>
      <c r="L66" s="168">
        <f t="shared" si="12"/>
        <v>1911.2023867982589</v>
      </c>
      <c r="M66" s="168">
        <f t="shared" si="13"/>
        <v>1884.6308315429642</v>
      </c>
      <c r="N66" s="168">
        <f t="shared" si="14"/>
        <v>1874.4783544830595</v>
      </c>
      <c r="O66" s="168">
        <f t="shared" si="15"/>
        <v>1877.9880505280687</v>
      </c>
      <c r="P66" s="168">
        <f t="shared" si="16"/>
        <v>1856.9548384578854</v>
      </c>
    </row>
    <row r="67" spans="1:16" ht="16.2" thickBot="1" x14ac:dyDescent="0.35">
      <c r="A67" s="77" t="s">
        <v>87</v>
      </c>
      <c r="B67" s="2">
        <v>20014</v>
      </c>
      <c r="C67" s="54">
        <f t="shared" ca="1" si="17"/>
        <v>1.3898006933865236E-3</v>
      </c>
      <c r="D67" s="155">
        <f t="shared" ca="1" si="18"/>
        <v>1667.83</v>
      </c>
      <c r="E67" s="168">
        <f t="shared" si="5"/>
        <v>1785.9204813678921</v>
      </c>
      <c r="F67" s="168">
        <f t="shared" si="6"/>
        <v>1800.4529027595017</v>
      </c>
      <c r="G67" s="168">
        <f t="shared" si="7"/>
        <v>1811.2555661692356</v>
      </c>
      <c r="H67" s="168">
        <f t="shared" si="8"/>
        <v>1810.9545094028576</v>
      </c>
      <c r="I67" s="168">
        <f t="shared" si="9"/>
        <v>1799.0402517788054</v>
      </c>
      <c r="J67" s="168">
        <f t="shared" si="10"/>
        <v>1811.3994538342879</v>
      </c>
      <c r="K67" s="168">
        <f t="shared" si="11"/>
        <v>1799.457921948718</v>
      </c>
      <c r="L67" s="168">
        <f t="shared" si="12"/>
        <v>1841.7258688131519</v>
      </c>
      <c r="M67" s="168">
        <f t="shared" si="13"/>
        <v>1816.1202495305929</v>
      </c>
      <c r="N67" s="168">
        <f t="shared" si="14"/>
        <v>1806.3368379134265</v>
      </c>
      <c r="O67" s="168">
        <f t="shared" si="15"/>
        <v>1809.718948590147</v>
      </c>
      <c r="P67" s="168">
        <f t="shared" si="16"/>
        <v>1789.4503412247154</v>
      </c>
    </row>
    <row r="68" spans="1:16" ht="15" thickBot="1" x14ac:dyDescent="0.35">
      <c r="A68" s="77" t="s">
        <v>88</v>
      </c>
      <c r="B68" s="3">
        <v>34044</v>
      </c>
      <c r="C68" s="54">
        <f t="shared" ca="1" si="17"/>
        <v>2.3640638955556514E-3</v>
      </c>
      <c r="D68" s="155">
        <f t="shared" ca="1" si="18"/>
        <v>2837</v>
      </c>
      <c r="E68" s="168">
        <f t="shared" si="5"/>
        <v>3037.8673362490517</v>
      </c>
      <c r="F68" s="168">
        <f t="shared" si="6"/>
        <v>3062.5871200931588</v>
      </c>
      <c r="G68" s="168">
        <f t="shared" si="7"/>
        <v>3080.96255094761</v>
      </c>
      <c r="H68" s="168">
        <f t="shared" si="8"/>
        <v>3080.4504505901314</v>
      </c>
      <c r="I68" s="168">
        <f t="shared" si="9"/>
        <v>3060.1841876465301</v>
      </c>
      <c r="J68" s="168">
        <f t="shared" si="10"/>
        <v>3081.2073052030828</v>
      </c>
      <c r="K68" s="168">
        <f t="shared" si="11"/>
        <v>3060.8946484871672</v>
      </c>
      <c r="L68" s="168">
        <f t="shared" si="12"/>
        <v>3132.7928189205031</v>
      </c>
      <c r="M68" s="168">
        <f t="shared" si="13"/>
        <v>3089.2374225551866</v>
      </c>
      <c r="N68" s="168">
        <f t="shared" si="14"/>
        <v>3072.595748472304</v>
      </c>
      <c r="O68" s="168">
        <f t="shared" si="15"/>
        <v>3078.3487501650329</v>
      </c>
      <c r="P68" s="168">
        <f t="shared" si="16"/>
        <v>3043.8716606702419</v>
      </c>
    </row>
    <row r="69" spans="1:16" ht="15" thickBot="1" x14ac:dyDescent="0.35">
      <c r="A69" s="79" t="s">
        <v>89</v>
      </c>
      <c r="B69" s="3">
        <v>39527</v>
      </c>
      <c r="C69" s="54">
        <f t="shared" ca="1" si="17"/>
        <v>2.7448112325116976E-3</v>
      </c>
      <c r="D69" s="155">
        <f t="shared" ca="1" si="18"/>
        <v>3293.92</v>
      </c>
      <c r="E69" s="168">
        <f t="shared" si="5"/>
        <v>3527.1349488872124</v>
      </c>
      <c r="F69" s="168">
        <f t="shared" si="6"/>
        <v>3555.8360091623276</v>
      </c>
      <c r="G69" s="168">
        <f t="shared" si="7"/>
        <v>3577.1709185555801</v>
      </c>
      <c r="H69" s="168">
        <f t="shared" si="8"/>
        <v>3576.5763412194842</v>
      </c>
      <c r="I69" s="168">
        <f t="shared" si="9"/>
        <v>3553.0460693544942</v>
      </c>
      <c r="J69" s="168">
        <f t="shared" si="10"/>
        <v>3577.4550920209799</v>
      </c>
      <c r="K69" s="168">
        <f t="shared" si="11"/>
        <v>3553.8709543752861</v>
      </c>
      <c r="L69" s="168">
        <f t="shared" si="12"/>
        <v>3637.3487766851931</v>
      </c>
      <c r="M69" s="168">
        <f t="shared" si="13"/>
        <v>3586.7785102026455</v>
      </c>
      <c r="N69" s="168">
        <f t="shared" si="14"/>
        <v>3567.4565899972022</v>
      </c>
      <c r="O69" s="168">
        <f t="shared" si="15"/>
        <v>3574.1361487420177</v>
      </c>
      <c r="P69" s="168">
        <f t="shared" si="16"/>
        <v>3534.1063074642416</v>
      </c>
    </row>
    <row r="70" spans="1:16" ht="15" thickBot="1" x14ac:dyDescent="0.35">
      <c r="A70" s="79" t="s">
        <v>90</v>
      </c>
      <c r="B70" s="3">
        <v>66623</v>
      </c>
      <c r="C70" s="54">
        <f t="shared" ca="1" si="17"/>
        <v>4.6263961025027663E-3</v>
      </c>
      <c r="D70" s="155">
        <f t="shared" ca="1" si="18"/>
        <v>5551.92</v>
      </c>
      <c r="E70" s="168">
        <f t="shared" si="5"/>
        <v>5945.0075062542764</v>
      </c>
      <c r="F70" s="168">
        <f t="shared" si="6"/>
        <v>5993.3833187042219</v>
      </c>
      <c r="G70" s="168">
        <f t="shared" si="7"/>
        <v>6029.3434388374635</v>
      </c>
      <c r="H70" s="168">
        <f t="shared" si="8"/>
        <v>6028.3412751047572</v>
      </c>
      <c r="I70" s="168">
        <f t="shared" si="9"/>
        <v>5988.6808581122896</v>
      </c>
      <c r="J70" s="168">
        <f t="shared" si="10"/>
        <v>6029.8224149496236</v>
      </c>
      <c r="K70" s="168">
        <f t="shared" si="11"/>
        <v>5990.0712068546745</v>
      </c>
      <c r="L70" s="168">
        <f t="shared" si="12"/>
        <v>6130.7735863864609</v>
      </c>
      <c r="M70" s="168">
        <f t="shared" si="13"/>
        <v>6045.5370932585538</v>
      </c>
      <c r="N70" s="168">
        <f t="shared" si="14"/>
        <v>6012.9698787002208</v>
      </c>
      <c r="O70" s="168">
        <f t="shared" si="15"/>
        <v>6024.2283157750262</v>
      </c>
      <c r="P70" s="168">
        <f t="shared" si="16"/>
        <v>5956.7577737291012</v>
      </c>
    </row>
    <row r="71" spans="1:16" ht="15" thickBot="1" x14ac:dyDescent="0.35">
      <c r="A71" s="79" t="s">
        <v>91</v>
      </c>
      <c r="B71" s="3">
        <v>23564</v>
      </c>
      <c r="C71" s="54">
        <f t="shared" ca="1" si="17"/>
        <v>1.6363177545198383E-3</v>
      </c>
      <c r="D71" s="155">
        <f t="shared" ca="1" si="18"/>
        <v>1963.67</v>
      </c>
      <c r="E71" s="168">
        <f t="shared" si="5"/>
        <v>2102.6996214126616</v>
      </c>
      <c r="F71" s="168">
        <f t="shared" si="6"/>
        <v>2119.8097432109976</v>
      </c>
      <c r="G71" s="168">
        <f t="shared" si="7"/>
        <v>2132.528538083935</v>
      </c>
      <c r="H71" s="168">
        <f t="shared" si="8"/>
        <v>2132.1740811216619</v>
      </c>
      <c r="I71" s="168">
        <f t="shared" si="9"/>
        <v>2118.1465220803325</v>
      </c>
      <c r="J71" s="168">
        <f t="shared" si="10"/>
        <v>2132.6979479439974</v>
      </c>
      <c r="K71" s="168">
        <f t="shared" si="11"/>
        <v>2118.6382768461876</v>
      </c>
      <c r="L71" s="168">
        <f t="shared" si="12"/>
        <v>2168.4035361603437</v>
      </c>
      <c r="M71" s="168">
        <f t="shared" si="13"/>
        <v>2138.2560987278353</v>
      </c>
      <c r="N71" s="168">
        <f t="shared" si="14"/>
        <v>2126.7373462871983</v>
      </c>
      <c r="O71" s="168">
        <f t="shared" si="15"/>
        <v>2130.7193616757386</v>
      </c>
      <c r="P71" s="168">
        <f t="shared" si="16"/>
        <v>2106.8555931157789</v>
      </c>
    </row>
    <row r="72" spans="1:16" ht="15" thickBot="1" x14ac:dyDescent="0.35">
      <c r="A72" s="79" t="s">
        <v>92</v>
      </c>
      <c r="B72" s="3">
        <v>33492</v>
      </c>
      <c r="C72" s="54">
        <f t="shared" ca="1" si="17"/>
        <v>2.3257322285850628E-3</v>
      </c>
      <c r="D72" s="155">
        <f t="shared" ca="1" si="18"/>
        <v>2791</v>
      </c>
      <c r="E72" s="168">
        <f t="shared" si="5"/>
        <v>2988.6104108111044</v>
      </c>
      <c r="F72" s="168">
        <f t="shared" si="6"/>
        <v>3012.9293803947853</v>
      </c>
      <c r="G72" s="168">
        <f t="shared" si="7"/>
        <v>3031.0068663005918</v>
      </c>
      <c r="H72" s="168">
        <f t="shared" si="8"/>
        <v>3030.5030692975174</v>
      </c>
      <c r="I72" s="168">
        <f t="shared" si="9"/>
        <v>3010.5654098418986</v>
      </c>
      <c r="J72" s="168">
        <f t="shared" si="10"/>
        <v>3031.2476520344744</v>
      </c>
      <c r="K72" s="168">
        <f t="shared" si="11"/>
        <v>3011.2643510495886</v>
      </c>
      <c r="L72" s="168">
        <f t="shared" si="12"/>
        <v>3081.9967421949677</v>
      </c>
      <c r="M72" s="168">
        <f t="shared" si="13"/>
        <v>3039.1475665673338</v>
      </c>
      <c r="N72" s="168">
        <f t="shared" si="14"/>
        <v>3022.7757257617909</v>
      </c>
      <c r="O72" s="168">
        <f t="shared" si="15"/>
        <v>3028.4354464965127</v>
      </c>
      <c r="P72" s="168">
        <f t="shared" si="16"/>
        <v>2994.5173792494343</v>
      </c>
    </row>
    <row r="73" spans="1:16" ht="15" thickBot="1" x14ac:dyDescent="0.35">
      <c r="A73" s="79" t="s">
        <v>93</v>
      </c>
      <c r="B73" s="3">
        <v>187153</v>
      </c>
      <c r="C73" s="54">
        <f t="shared" ca="1" si="17"/>
        <v>1.2996171138671332E-2</v>
      </c>
      <c r="D73" s="155">
        <f t="shared" ca="1" si="18"/>
        <v>15596.08</v>
      </c>
      <c r="E73" s="168">
        <f t="shared" si="5"/>
        <v>16700.32856247852</v>
      </c>
      <c r="F73" s="168">
        <f t="shared" si="6"/>
        <v>16836.222749582746</v>
      </c>
      <c r="G73" s="168">
        <f t="shared" si="7"/>
        <v>16937.239581056809</v>
      </c>
      <c r="H73" s="168">
        <f t="shared" si="8"/>
        <v>16934.424367856154</v>
      </c>
      <c r="I73" s="168">
        <f t="shared" si="9"/>
        <v>16823.012903025821</v>
      </c>
      <c r="J73" s="168">
        <f t="shared" si="10"/>
        <v>16938.5850896097</v>
      </c>
      <c r="K73" s="168">
        <f t="shared" si="11"/>
        <v>16826.9185803172</v>
      </c>
      <c r="L73" s="168">
        <f t="shared" si="12"/>
        <v>17222.170556909557</v>
      </c>
      <c r="M73" s="168">
        <f t="shared" si="13"/>
        <v>16982.729742200412</v>
      </c>
      <c r="N73" s="168">
        <f t="shared" si="14"/>
        <v>16891.244040472247</v>
      </c>
      <c r="O73" s="168">
        <f t="shared" si="15"/>
        <v>16922.870509917648</v>
      </c>
      <c r="P73" s="168">
        <f t="shared" si="16"/>
        <v>16733.336649906527</v>
      </c>
    </row>
    <row r="74" spans="1:16" ht="15" thickBot="1" x14ac:dyDescent="0.35">
      <c r="A74" s="94" t="s">
        <v>94</v>
      </c>
      <c r="B74" s="95">
        <f>SUM(B35:B73)</f>
        <v>1898428</v>
      </c>
      <c r="C74" s="96">
        <f t="shared" ca="1" si="17"/>
        <v>0.13182954685442147</v>
      </c>
      <c r="D74" s="158">
        <f t="shared" ca="1" si="18"/>
        <v>158202.32999999999</v>
      </c>
      <c r="E74" s="168">
        <f t="shared" si="5"/>
        <v>169403.48993715824</v>
      </c>
      <c r="F74" s="168">
        <f t="shared" si="6"/>
        <v>170781.96279004274</v>
      </c>
      <c r="G74" s="168">
        <f t="shared" si="7"/>
        <v>171806.64944396573</v>
      </c>
      <c r="H74" s="168">
        <f t="shared" si="8"/>
        <v>171778.09270393968</v>
      </c>
      <c r="I74" s="168">
        <f t="shared" si="9"/>
        <v>170647.96577915133</v>
      </c>
      <c r="J74" s="168">
        <f t="shared" si="10"/>
        <v>171820.29790864993</v>
      </c>
      <c r="K74" s="168">
        <f t="shared" si="11"/>
        <v>170687.58388374443</v>
      </c>
      <c r="L74" s="168">
        <f t="shared" si="12"/>
        <v>174696.91004692789</v>
      </c>
      <c r="M74" s="168">
        <f t="shared" si="13"/>
        <v>172268.08899149919</v>
      </c>
      <c r="N74" s="168">
        <f t="shared" si="14"/>
        <v>171340.08346788801</v>
      </c>
      <c r="O74" s="168">
        <f t="shared" si="15"/>
        <v>171660.89358119798</v>
      </c>
      <c r="P74" s="168">
        <f t="shared" si="16"/>
        <v>169738.31479916832</v>
      </c>
    </row>
    <row r="75" spans="1:16" ht="16.2" thickBot="1" x14ac:dyDescent="0.35">
      <c r="A75" s="99" t="s">
        <v>95</v>
      </c>
      <c r="B75" s="100">
        <f>B31+B74</f>
        <v>14195584</v>
      </c>
      <c r="C75" s="101">
        <f t="shared" ca="1" si="17"/>
        <v>0.98576159119749374</v>
      </c>
      <c r="D75" s="158">
        <f t="shared" ca="1" si="18"/>
        <v>1182965.33</v>
      </c>
      <c r="E75" s="168">
        <f t="shared" si="5"/>
        <v>1266722.5047755744</v>
      </c>
      <c r="F75" s="168">
        <f t="shared" si="6"/>
        <v>1277030.0998883951</v>
      </c>
      <c r="G75" s="168">
        <f t="shared" si="7"/>
        <v>1284692.2421816201</v>
      </c>
      <c r="H75" s="168">
        <f t="shared" si="8"/>
        <v>1284478.7078248754</v>
      </c>
      <c r="I75" s="168">
        <f t="shared" si="9"/>
        <v>1276028.1309836705</v>
      </c>
      <c r="J75" s="168">
        <f t="shared" si="10"/>
        <v>1284794.2992134884</v>
      </c>
      <c r="K75" s="168">
        <f t="shared" si="11"/>
        <v>1276324.3772103763</v>
      </c>
      <c r="L75" s="168">
        <f t="shared" si="12"/>
        <v>1306304.3007749615</v>
      </c>
      <c r="M75" s="168">
        <f t="shared" si="13"/>
        <v>1288142.6779410657</v>
      </c>
      <c r="N75" s="168">
        <f t="shared" si="14"/>
        <v>1281203.4733134022</v>
      </c>
      <c r="O75" s="168">
        <f t="shared" si="15"/>
        <v>1283602.3459130165</v>
      </c>
      <c r="P75" s="168">
        <f t="shared" si="16"/>
        <v>1269226.1733128866</v>
      </c>
    </row>
    <row r="76" spans="1:16" ht="16.2" thickBot="1" x14ac:dyDescent="0.35">
      <c r="A76" s="102" t="s">
        <v>96</v>
      </c>
      <c r="B76" s="103">
        <f>B9-B75</f>
        <v>205042</v>
      </c>
      <c r="C76" s="104">
        <f t="shared" ca="1" si="17"/>
        <v>1.4238408802506224E-2</v>
      </c>
      <c r="D76" s="158">
        <f t="shared" ca="1" si="18"/>
        <v>17086.830000000002</v>
      </c>
      <c r="E76" s="168">
        <f t="shared" si="5"/>
        <v>18296.627727622428</v>
      </c>
      <c r="F76" s="168">
        <f t="shared" si="6"/>
        <v>18445.511346438179</v>
      </c>
      <c r="G76" s="168">
        <f t="shared" si="7"/>
        <v>18556.183861220765</v>
      </c>
      <c r="H76" s="168">
        <f t="shared" si="8"/>
        <v>18553.099556159726</v>
      </c>
      <c r="I76" s="168">
        <f t="shared" si="9"/>
        <v>18431.038838074837</v>
      </c>
      <c r="J76" s="168">
        <f t="shared" si="10"/>
        <v>18557.657980068452</v>
      </c>
      <c r="K76" s="168">
        <f t="shared" si="11"/>
        <v>18435.317839123065</v>
      </c>
      <c r="L76" s="168">
        <f t="shared" si="12"/>
        <v>18868.34993470502</v>
      </c>
      <c r="M76" s="168">
        <f t="shared" si="13"/>
        <v>18606.022194676316</v>
      </c>
      <c r="N76" s="168">
        <f t="shared" si="14"/>
        <v>18505.791841683062</v>
      </c>
      <c r="O76" s="168">
        <f t="shared" si="15"/>
        <v>18540.441323914307</v>
      </c>
      <c r="P76" s="168">
        <f t="shared" si="16"/>
        <v>18332.790889647153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Annual Budget</vt:lpstr>
      <vt:lpstr>Monthly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Pfeiffer</dc:creator>
  <cp:lastModifiedBy>Joseph Pfeiffer</cp:lastModifiedBy>
  <dcterms:created xsi:type="dcterms:W3CDTF">2019-03-11T13:15:22Z</dcterms:created>
  <dcterms:modified xsi:type="dcterms:W3CDTF">2020-04-23T12:57:56Z</dcterms:modified>
</cp:coreProperties>
</file>