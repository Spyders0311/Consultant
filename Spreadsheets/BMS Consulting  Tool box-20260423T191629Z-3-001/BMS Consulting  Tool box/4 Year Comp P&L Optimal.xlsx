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b0252ba3483248/Desktop/BMS Consulting  Tool box/"/>
    </mc:Choice>
  </mc:AlternateContent>
  <xr:revisionPtr revIDLastSave="4" documentId="13_ncr:1_{EC0A1B2B-C869-4F25-8977-514CE5610130}" xr6:coauthVersionLast="47" xr6:coauthVersionMax="47" xr10:uidLastSave="{6C661A6C-93E7-4699-A164-196774CF8036}"/>
  <workbookProtection workbookPassword="CCEA" lockStructure="1"/>
  <bookViews>
    <workbookView xWindow="-28920" yWindow="-120" windowWidth="29040" windowHeight="15720" xr2:uid="{00000000-000D-0000-FFFF-FFFF00000000}"/>
  </bookViews>
  <sheets>
    <sheet name="P&amp;L 4 years" sheetId="1" r:id="rId1"/>
    <sheet name="OPTIMAL" sheetId="8" r:id="rId2"/>
    <sheet name="4 YEAR LOSS" sheetId="9" r:id="rId3"/>
  </sheets>
  <definedNames>
    <definedName name="_xlnm.Print_Area" localSheetId="2">'4 YEAR LOSS'!$A$1:$K$35</definedName>
    <definedName name="_xlnm.Print_Area" localSheetId="1">OPTIMAL!$A$1:$F$37</definedName>
    <definedName name="_xlnm.Print_Area" localSheetId="0">'P&amp;L 4 years'!$A$2:$K$33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1" l="1"/>
  <c r="C13" i="1" s="1"/>
  <c r="D13" i="1"/>
  <c r="E12" i="1" s="1"/>
  <c r="F13" i="1"/>
  <c r="G11" i="1" s="1"/>
  <c r="H13" i="1"/>
  <c r="I28" i="1" s="1"/>
  <c r="I32" i="1"/>
  <c r="B19" i="1"/>
  <c r="D19" i="1"/>
  <c r="E19" i="1" s="1"/>
  <c r="F19" i="1"/>
  <c r="H19" i="1"/>
  <c r="B25" i="1"/>
  <c r="D25" i="1"/>
  <c r="F25" i="1"/>
  <c r="H25" i="1"/>
  <c r="I25" i="1" s="1"/>
  <c r="B33" i="1"/>
  <c r="D33" i="1"/>
  <c r="E33" i="1" s="1"/>
  <c r="F33" i="1"/>
  <c r="F33" i="9" s="1"/>
  <c r="H33" i="1"/>
  <c r="H33" i="9" s="1"/>
  <c r="C10" i="9"/>
  <c r="E10" i="9" s="1"/>
  <c r="C11" i="9"/>
  <c r="E11" i="9" s="1"/>
  <c r="C12" i="9"/>
  <c r="E12" i="9" s="1"/>
  <c r="C13" i="9"/>
  <c r="E13" i="9" s="1"/>
  <c r="G13" i="9" s="1"/>
  <c r="C19" i="9"/>
  <c r="E19" i="9" s="1"/>
  <c r="C20" i="9"/>
  <c r="E20" i="9" s="1"/>
  <c r="C23" i="9"/>
  <c r="E23" i="9" s="1"/>
  <c r="C24" i="9"/>
  <c r="E24" i="9" s="1"/>
  <c r="C25" i="9"/>
  <c r="E25" i="9" s="1"/>
  <c r="B33" i="9"/>
  <c r="D33" i="9"/>
  <c r="E33" i="9" s="1"/>
  <c r="I15" i="1"/>
  <c r="I24" i="1"/>
  <c r="I11" i="1"/>
  <c r="E16" i="1"/>
  <c r="C12" i="1"/>
  <c r="I17" i="1"/>
  <c r="I18" i="1"/>
  <c r="I10" i="1"/>
  <c r="I23" i="1"/>
  <c r="B7" i="9"/>
  <c r="B13" i="9" s="1"/>
  <c r="B20" i="1"/>
  <c r="C20" i="1" s="1"/>
  <c r="C27" i="1"/>
  <c r="C18" i="1"/>
  <c r="C23" i="1"/>
  <c r="C24" i="1"/>
  <c r="C15" i="1"/>
  <c r="D7" i="9"/>
  <c r="E10" i="1"/>
  <c r="E25" i="1"/>
  <c r="D20" i="1"/>
  <c r="E20" i="1" s="1"/>
  <c r="F20" i="1"/>
  <c r="G20" i="1" s="1"/>
  <c r="G16" i="1"/>
  <c r="G32" i="1"/>
  <c r="E13" i="1"/>
  <c r="E11" i="1"/>
  <c r="E15" i="1"/>
  <c r="E23" i="1"/>
  <c r="E18" i="1"/>
  <c r="E32" i="1"/>
  <c r="E27" i="1"/>
  <c r="E28" i="1"/>
  <c r="E17" i="1"/>
  <c r="E24" i="1"/>
  <c r="B11" i="9"/>
  <c r="B12" i="9"/>
  <c r="C10" i="1" l="1"/>
  <c r="C32" i="1"/>
  <c r="J32" i="1" s="1"/>
  <c r="I13" i="1"/>
  <c r="I12" i="1"/>
  <c r="C33" i="1"/>
  <c r="C19" i="1"/>
  <c r="H7" i="9"/>
  <c r="I7" i="9" s="1"/>
  <c r="C28" i="1"/>
  <c r="J28" i="1" s="1"/>
  <c r="C33" i="9"/>
  <c r="J11" i="1"/>
  <c r="C11" i="1"/>
  <c r="C8" i="8"/>
  <c r="I27" i="1"/>
  <c r="C25" i="1"/>
  <c r="C17" i="1"/>
  <c r="C16" i="1"/>
  <c r="J16" i="1" s="1"/>
  <c r="I16" i="1"/>
  <c r="I19" i="1"/>
  <c r="C13" i="8"/>
  <c r="C11" i="8"/>
  <c r="G18" i="1"/>
  <c r="J18" i="1" s="1"/>
  <c r="G19" i="1"/>
  <c r="J19" i="1" s="1"/>
  <c r="B31" i="1"/>
  <c r="D8" i="8"/>
  <c r="B23" i="9"/>
  <c r="C7" i="9"/>
  <c r="B10" i="9"/>
  <c r="C14" i="8"/>
  <c r="F31" i="1"/>
  <c r="D31" i="1"/>
  <c r="H20" i="1"/>
  <c r="G25" i="1"/>
  <c r="G27" i="1"/>
  <c r="G33" i="1"/>
  <c r="G17" i="1"/>
  <c r="C34" i="8"/>
  <c r="D34" i="8" s="1"/>
  <c r="C20" i="8"/>
  <c r="G23" i="1"/>
  <c r="J23" i="1" s="1"/>
  <c r="G28" i="1"/>
  <c r="B19" i="9"/>
  <c r="B24" i="9"/>
  <c r="B20" i="9"/>
  <c r="G10" i="1"/>
  <c r="J10" i="1" s="1"/>
  <c r="G13" i="1"/>
  <c r="J13" i="1" s="1"/>
  <c r="G15" i="1"/>
  <c r="J15" i="1" s="1"/>
  <c r="G24" i="1"/>
  <c r="J24" i="1" s="1"/>
  <c r="G12" i="1"/>
  <c r="J12" i="1" s="1"/>
  <c r="I33" i="1"/>
  <c r="F7" i="9"/>
  <c r="G7" i="9" s="1"/>
  <c r="B14" i="9"/>
  <c r="C14" i="9" s="1"/>
  <c r="C25" i="8"/>
  <c r="G25" i="9"/>
  <c r="D25" i="9"/>
  <c r="G23" i="9"/>
  <c r="D23" i="9"/>
  <c r="G19" i="9"/>
  <c r="D19" i="9"/>
  <c r="G12" i="9"/>
  <c r="D12" i="9"/>
  <c r="D24" i="9"/>
  <c r="G24" i="9"/>
  <c r="G20" i="9"/>
  <c r="D20" i="9"/>
  <c r="I13" i="9"/>
  <c r="F13" i="9"/>
  <c r="B25" i="9"/>
  <c r="D13" i="9"/>
  <c r="D11" i="9"/>
  <c r="G11" i="9"/>
  <c r="D10" i="9"/>
  <c r="G10" i="9"/>
  <c r="E7" i="9"/>
  <c r="C22" i="8" l="1"/>
  <c r="J27" i="1"/>
  <c r="C21" i="8"/>
  <c r="C26" i="8"/>
  <c r="C12" i="8"/>
  <c r="C15" i="8" s="1"/>
  <c r="B21" i="9"/>
  <c r="C21" i="9" s="1"/>
  <c r="J25" i="1"/>
  <c r="K25" i="1" s="1"/>
  <c r="B27" i="9"/>
  <c r="C27" i="9" s="1"/>
  <c r="H13" i="9"/>
  <c r="J17" i="1"/>
  <c r="J7" i="9"/>
  <c r="K7" i="9" s="1"/>
  <c r="C24" i="8"/>
  <c r="I33" i="9"/>
  <c r="B16" i="9"/>
  <c r="K19" i="1"/>
  <c r="K18" i="1"/>
  <c r="J33" i="1"/>
  <c r="K27" i="1"/>
  <c r="K23" i="1"/>
  <c r="K16" i="1"/>
  <c r="K32" i="1"/>
  <c r="K10" i="1"/>
  <c r="K13" i="1"/>
  <c r="K11" i="1"/>
  <c r="K17" i="1"/>
  <c r="K24" i="1"/>
  <c r="K12" i="1"/>
  <c r="K15" i="1"/>
  <c r="D29" i="1"/>
  <c r="E29" i="1" s="1"/>
  <c r="E31" i="1"/>
  <c r="B29" i="1"/>
  <c r="C29" i="1" s="1"/>
  <c r="C31" i="1"/>
  <c r="G31" i="1"/>
  <c r="F29" i="1"/>
  <c r="G29" i="1" s="1"/>
  <c r="G33" i="9"/>
  <c r="K28" i="1"/>
  <c r="I20" i="1"/>
  <c r="J20" i="1" s="1"/>
  <c r="K20" i="1" s="1"/>
  <c r="H31" i="1"/>
  <c r="J13" i="9"/>
  <c r="K13" i="9" s="1"/>
  <c r="F20" i="9"/>
  <c r="I20" i="9"/>
  <c r="H20" i="9" s="1"/>
  <c r="F12" i="9"/>
  <c r="I12" i="9"/>
  <c r="H12" i="9" s="1"/>
  <c r="J12" i="9" s="1"/>
  <c r="K12" i="9" s="1"/>
  <c r="I24" i="9"/>
  <c r="H24" i="9" s="1"/>
  <c r="F24" i="9"/>
  <c r="C16" i="9"/>
  <c r="D21" i="9"/>
  <c r="F19" i="9"/>
  <c r="I19" i="9"/>
  <c r="H19" i="9" s="1"/>
  <c r="I23" i="9"/>
  <c r="H23" i="9" s="1"/>
  <c r="F23" i="9"/>
  <c r="F25" i="9"/>
  <c r="I25" i="9"/>
  <c r="H25" i="9" s="1"/>
  <c r="I10" i="9"/>
  <c r="H10" i="9" s="1"/>
  <c r="F10" i="9"/>
  <c r="D14" i="9"/>
  <c r="I11" i="9"/>
  <c r="H11" i="9" s="1"/>
  <c r="F11" i="9"/>
  <c r="B29" i="9" l="1"/>
  <c r="F21" i="9"/>
  <c r="D15" i="8"/>
  <c r="C17" i="8"/>
  <c r="C28" i="8"/>
  <c r="D28" i="8" s="1"/>
  <c r="D22" i="8"/>
  <c r="J33" i="9"/>
  <c r="K33" i="9" s="1"/>
  <c r="K33" i="1"/>
  <c r="H29" i="1"/>
  <c r="I29" i="1" s="1"/>
  <c r="I31" i="1"/>
  <c r="J31" i="1" s="1"/>
  <c r="K31" i="1" s="1"/>
  <c r="J23" i="9"/>
  <c r="K23" i="9" s="1"/>
  <c r="H21" i="9"/>
  <c r="J25" i="9"/>
  <c r="K25" i="9" s="1"/>
  <c r="F27" i="9"/>
  <c r="G27" i="9" s="1"/>
  <c r="G21" i="9"/>
  <c r="J19" i="9"/>
  <c r="K19" i="9" s="1"/>
  <c r="J11" i="9"/>
  <c r="K11" i="9" s="1"/>
  <c r="F14" i="9"/>
  <c r="G14" i="9" s="1"/>
  <c r="D27" i="9"/>
  <c r="E27" i="9" s="1"/>
  <c r="E21" i="9"/>
  <c r="J24" i="9"/>
  <c r="K24" i="9" s="1"/>
  <c r="J20" i="9"/>
  <c r="K20" i="9" s="1"/>
  <c r="C29" i="9"/>
  <c r="B31" i="9"/>
  <c r="E14" i="9"/>
  <c r="D16" i="9"/>
  <c r="J10" i="9"/>
  <c r="K10" i="9" s="1"/>
  <c r="H14" i="9"/>
  <c r="C30" i="8" l="1"/>
  <c r="D17" i="8"/>
  <c r="F16" i="9"/>
  <c r="J29" i="1"/>
  <c r="K29" i="1" s="1"/>
  <c r="H27" i="9"/>
  <c r="I27" i="9" s="1"/>
  <c r="I21" i="9"/>
  <c r="J21" i="9" s="1"/>
  <c r="K21" i="9" s="1"/>
  <c r="B35" i="9"/>
  <c r="C35" i="9" s="1"/>
  <c r="C31" i="9"/>
  <c r="I14" i="9"/>
  <c r="H16" i="9"/>
  <c r="E16" i="9"/>
  <c r="D29" i="9"/>
  <c r="G16" i="9"/>
  <c r="F29" i="9"/>
  <c r="J14" i="9"/>
  <c r="K14" i="9" s="1"/>
  <c r="C32" i="8" l="1"/>
  <c r="D30" i="8"/>
  <c r="J27" i="9"/>
  <c r="K27" i="9" s="1"/>
  <c r="I16" i="9"/>
  <c r="J16" i="9" s="1"/>
  <c r="K16" i="9" s="1"/>
  <c r="H29" i="9"/>
  <c r="F31" i="9"/>
  <c r="G29" i="9"/>
  <c r="D31" i="9"/>
  <c r="E29" i="9"/>
  <c r="D32" i="8" l="1"/>
  <c r="C36" i="8"/>
  <c r="D36" i="8" s="1"/>
  <c r="E31" i="9"/>
  <c r="D35" i="9"/>
  <c r="E35" i="9" s="1"/>
  <c r="F35" i="9"/>
  <c r="G35" i="9" s="1"/>
  <c r="G31" i="9"/>
  <c r="H31" i="9"/>
  <c r="I29" i="9"/>
  <c r="J29" i="9" s="1"/>
  <c r="K29" i="9" l="1"/>
  <c r="J31" i="9"/>
  <c r="H35" i="9"/>
  <c r="I35" i="9" s="1"/>
  <c r="I31" i="9"/>
  <c r="K31" i="9" l="1"/>
  <c r="J35" i="9"/>
  <c r="K35" i="9" s="1"/>
</calcChain>
</file>

<file path=xl/sharedStrings.xml><?xml version="1.0" encoding="utf-8"?>
<sst xmlns="http://schemas.openxmlformats.org/spreadsheetml/2006/main" count="97" uniqueCount="39">
  <si>
    <t xml:space="preserve">SALES </t>
  </si>
  <si>
    <t>TOTAL SALES</t>
  </si>
  <si>
    <t>Cost of Goods Sold</t>
  </si>
  <si>
    <t>TOTAL COGS</t>
  </si>
  <si>
    <t>Gross Profit</t>
  </si>
  <si>
    <t>Advertising</t>
  </si>
  <si>
    <t>Selling Costs</t>
  </si>
  <si>
    <t>TOTAL SELLING COSTS</t>
  </si>
  <si>
    <t>Officers Salaries</t>
  </si>
  <si>
    <t>TTL OP EXPENSES</t>
  </si>
  <si>
    <t>NET OP PROFIT</t>
  </si>
  <si>
    <t>EXPENSES</t>
  </si>
  <si>
    <t>YEAR:</t>
    <phoneticPr fontId="5" type="noConversion"/>
  </si>
  <si>
    <t># Months</t>
    <phoneticPr fontId="5" type="noConversion"/>
  </si>
  <si>
    <t>Ending</t>
    <phoneticPr fontId="5" type="noConversion"/>
  </si>
  <si>
    <t>December</t>
    <phoneticPr fontId="5" type="noConversion"/>
  </si>
  <si>
    <t>Purchases</t>
    <phoneticPr fontId="5" type="noConversion"/>
  </si>
  <si>
    <t>Direct Labor</t>
    <phoneticPr fontId="5" type="noConversion"/>
  </si>
  <si>
    <t>Sub Contractor</t>
    <phoneticPr fontId="5" type="noConversion"/>
  </si>
  <si>
    <t>Other Direct</t>
    <phoneticPr fontId="5" type="noConversion"/>
  </si>
  <si>
    <t>Other Selling Costs</t>
    <phoneticPr fontId="5" type="noConversion"/>
  </si>
  <si>
    <t>Admin Salaries &amp; Wages</t>
    <phoneticPr fontId="5" type="noConversion"/>
  </si>
  <si>
    <t>Other Administrative Costs</t>
    <phoneticPr fontId="5" type="noConversion"/>
  </si>
  <si>
    <t>TOTAL OWNERSHIP RETURN</t>
    <phoneticPr fontId="5" type="noConversion"/>
  </si>
  <si>
    <t>TOTAL</t>
    <phoneticPr fontId="5" type="noConversion"/>
  </si>
  <si>
    <t>TOTAL</t>
    <phoneticPr fontId="5" type="noConversion"/>
  </si>
  <si>
    <t>ACTUAL OWNERSHIP RETURN</t>
    <phoneticPr fontId="5" type="noConversion"/>
  </si>
  <si>
    <t>TOTAL LOST POTENTIAL</t>
    <phoneticPr fontId="5" type="noConversion"/>
  </si>
  <si>
    <t>March</t>
  </si>
  <si>
    <t>December</t>
  </si>
  <si>
    <t>November</t>
  </si>
  <si>
    <t>Company Name:</t>
  </si>
  <si>
    <t>Job Number:</t>
  </si>
  <si>
    <t>Date:</t>
  </si>
  <si>
    <t>Sample Company Name</t>
  </si>
  <si>
    <t>100507-01</t>
  </si>
  <si>
    <t>CLIENT:</t>
  </si>
  <si>
    <t>JOB #: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</si>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</sst>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[$-F800]dddd\,\ mmmm\ dd\,\ yyyy"/>
  </numFmts>
  <fonts count="11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8"/>
      <name val="Verdana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</font>
    <font>
      <sz val="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41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1" fontId="3" fillId="0" borderId="0" xfId="0" applyNumberFormat="1" applyFont="1" applyFill="1" applyAlignment="1">
      <alignment horizontal="center"/>
    </xf>
    <xf numFmtId="0" fontId="3" fillId="0" borderId="0" xfId="0" applyFont="1" applyFill="1"/>
    <xf numFmtId="164" fontId="2" fillId="0" borderId="1" xfId="0" applyNumberFormat="1" applyFont="1" applyFill="1" applyBorder="1" applyAlignment="1">
      <alignment horizontal="center"/>
    </xf>
    <xf numFmtId="0" fontId="2" fillId="0" borderId="2" xfId="0" applyFont="1" applyFill="1" applyBorder="1"/>
    <xf numFmtId="41" fontId="2" fillId="0" borderId="3" xfId="0" applyNumberFormat="1" applyFont="1" applyFill="1" applyBorder="1" applyAlignment="1">
      <alignment horizontal="center"/>
    </xf>
    <xf numFmtId="41" fontId="1" fillId="0" borderId="0" xfId="0" applyNumberFormat="1" applyFont="1" applyFill="1" applyAlignment="1">
      <alignment horizontal="center"/>
    </xf>
    <xf numFmtId="0" fontId="1" fillId="0" borderId="0" xfId="0" applyFont="1" applyFill="1"/>
    <xf numFmtId="164" fontId="1" fillId="0" borderId="1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1" fontId="6" fillId="0" borderId="5" xfId="0" applyNumberFormat="1" applyFont="1" applyFill="1" applyBorder="1" applyAlignment="1">
      <alignment horizontal="right"/>
    </xf>
    <xf numFmtId="1" fontId="1" fillId="0" borderId="6" xfId="0" applyNumberFormat="1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right"/>
    </xf>
    <xf numFmtId="1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/>
    <xf numFmtId="41" fontId="1" fillId="0" borderId="3" xfId="0" applyNumberFormat="1" applyFont="1" applyFill="1" applyBorder="1" applyAlignment="1">
      <alignment horizontal="right"/>
    </xf>
    <xf numFmtId="41" fontId="0" fillId="0" borderId="3" xfId="0" applyNumberFormat="1" applyFill="1" applyBorder="1" applyAlignment="1">
      <alignment horizontal="center"/>
    </xf>
    <xf numFmtId="41" fontId="1" fillId="0" borderId="3" xfId="0" applyNumberFormat="1" applyFont="1" applyFill="1" applyBorder="1" applyAlignment="1">
      <alignment horizontal="center"/>
    </xf>
    <xf numFmtId="0" fontId="0" fillId="0" borderId="2" xfId="0" applyFont="1" applyFill="1" applyBorder="1"/>
    <xf numFmtId="41" fontId="0" fillId="0" borderId="3" xfId="0" applyNumberFormat="1" applyFont="1" applyFill="1" applyBorder="1" applyAlignment="1">
      <alignment horizontal="center"/>
    </xf>
    <xf numFmtId="0" fontId="1" fillId="0" borderId="7" xfId="0" applyFont="1" applyFill="1" applyBorder="1"/>
    <xf numFmtId="164" fontId="7" fillId="0" borderId="1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1" fontId="8" fillId="0" borderId="8" xfId="0" applyNumberFormat="1" applyFont="1" applyFill="1" applyBorder="1"/>
    <xf numFmtId="1" fontId="8" fillId="0" borderId="6" xfId="0" applyNumberFormat="1" applyFont="1" applyFill="1" applyBorder="1" applyAlignment="1">
      <alignment horizontal="center"/>
    </xf>
    <xf numFmtId="1" fontId="8" fillId="0" borderId="3" xfId="0" applyNumberFormat="1" applyFont="1" applyFill="1" applyBorder="1"/>
    <xf numFmtId="1" fontId="8" fillId="0" borderId="1" xfId="0" applyNumberFormat="1" applyFont="1" applyFill="1" applyBorder="1" applyAlignment="1">
      <alignment horizontal="center"/>
    </xf>
    <xf numFmtId="41" fontId="8" fillId="0" borderId="3" xfId="0" applyNumberFormat="1" applyFont="1" applyFill="1" applyBorder="1" applyAlignment="1">
      <alignment horizontal="right"/>
    </xf>
    <xf numFmtId="41" fontId="8" fillId="0" borderId="3" xfId="0" applyNumberFormat="1" applyFont="1" applyFill="1" applyBorder="1" applyAlignment="1">
      <alignment horizontal="center"/>
    </xf>
    <xf numFmtId="41" fontId="8" fillId="0" borderId="9" xfId="0" applyNumberFormat="1" applyFont="1" applyFill="1" applyBorder="1" applyAlignment="1">
      <alignment horizontal="center"/>
    </xf>
    <xf numFmtId="164" fontId="8" fillId="0" borderId="4" xfId="0" applyNumberFormat="1" applyFont="1" applyFill="1" applyBorder="1" applyAlignment="1">
      <alignment horizontal="center"/>
    </xf>
    <xf numFmtId="0" fontId="0" fillId="0" borderId="2" xfId="0" applyFill="1" applyBorder="1" applyProtection="1">
      <protection locked="0"/>
    </xf>
    <xf numFmtId="0" fontId="7" fillId="0" borderId="2" xfId="0" applyFont="1" applyFill="1" applyBorder="1" applyProtection="1"/>
    <xf numFmtId="0" fontId="0" fillId="0" borderId="2" xfId="0" applyFill="1" applyBorder="1" applyProtection="1"/>
    <xf numFmtId="0" fontId="3" fillId="0" borderId="2" xfId="0" applyFont="1" applyFill="1" applyBorder="1" applyProtection="1"/>
    <xf numFmtId="0" fontId="0" fillId="0" borderId="2" xfId="0" applyFont="1" applyFill="1" applyBorder="1" applyProtection="1"/>
    <xf numFmtId="0" fontId="0" fillId="0" borderId="0" xfId="0" applyProtection="1">
      <protection locked="0"/>
    </xf>
    <xf numFmtId="0" fontId="1" fillId="0" borderId="10" xfId="0" applyFont="1" applyBorder="1"/>
    <xf numFmtId="41" fontId="1" fillId="0" borderId="10" xfId="0" applyNumberFormat="1" applyFont="1" applyBorder="1"/>
    <xf numFmtId="164" fontId="1" fillId="0" borderId="11" xfId="0" applyNumberFormat="1" applyFont="1" applyFill="1" applyBorder="1" applyAlignment="1">
      <alignment horizontal="center"/>
    </xf>
    <xf numFmtId="1" fontId="8" fillId="0" borderId="3" xfId="0" applyNumberFormat="1" applyFont="1" applyFill="1" applyBorder="1" applyAlignment="1">
      <alignment horizontal="center"/>
    </xf>
    <xf numFmtId="0" fontId="1" fillId="0" borderId="0" xfId="0" applyFont="1" applyBorder="1"/>
    <xf numFmtId="41" fontId="1" fillId="0" borderId="0" xfId="0" applyNumberFormat="1" applyFont="1" applyBorder="1"/>
    <xf numFmtId="164" fontId="1" fillId="0" borderId="0" xfId="0" applyNumberFormat="1" applyFont="1" applyFill="1" applyBorder="1" applyAlignment="1">
      <alignment horizontal="center"/>
    </xf>
    <xf numFmtId="0" fontId="4" fillId="0" borderId="10" xfId="0" applyFont="1" applyBorder="1"/>
    <xf numFmtId="41" fontId="4" fillId="0" borderId="10" xfId="0" applyNumberFormat="1" applyFont="1" applyBorder="1"/>
    <xf numFmtId="164" fontId="4" fillId="0" borderId="11" xfId="0" applyNumberFormat="1" applyFont="1" applyFill="1" applyBorder="1" applyAlignment="1">
      <alignment horizontal="center"/>
    </xf>
    <xf numFmtId="0" fontId="9" fillId="0" borderId="10" xfId="0" applyFont="1" applyBorder="1"/>
    <xf numFmtId="41" fontId="9" fillId="0" borderId="10" xfId="0" applyNumberFormat="1" applyFont="1" applyBorder="1"/>
    <xf numFmtId="164" fontId="9" fillId="0" borderId="11" xfId="0" applyNumberFormat="1" applyFont="1" applyFill="1" applyBorder="1" applyAlignment="1">
      <alignment horizontal="center"/>
    </xf>
    <xf numFmtId="0" fontId="0" fillId="0" borderId="0" xfId="0" applyFill="1" applyProtection="1">
      <protection locked="0"/>
    </xf>
    <xf numFmtId="1" fontId="6" fillId="0" borderId="5" xfId="0" applyNumberFormat="1" applyFont="1" applyFill="1" applyBorder="1" applyAlignment="1" applyProtection="1">
      <alignment horizontal="right"/>
    </xf>
    <xf numFmtId="1" fontId="1" fillId="0" borderId="6" xfId="0" applyNumberFormat="1" applyFont="1" applyFill="1" applyBorder="1" applyAlignment="1" applyProtection="1">
      <alignment horizontal="center"/>
    </xf>
    <xf numFmtId="1" fontId="8" fillId="0" borderId="8" xfId="0" applyNumberFormat="1" applyFont="1" applyFill="1" applyBorder="1" applyProtection="1"/>
    <xf numFmtId="1" fontId="8" fillId="0" borderId="6" xfId="0" applyNumberFormat="1" applyFont="1" applyFill="1" applyBorder="1" applyAlignment="1" applyProtection="1">
      <alignment horizontal="center"/>
    </xf>
    <xf numFmtId="1" fontId="1" fillId="0" borderId="0" xfId="0" applyNumberFormat="1" applyFont="1" applyAlignment="1" applyProtection="1">
      <alignment horizontal="center"/>
    </xf>
    <xf numFmtId="1" fontId="6" fillId="0" borderId="2" xfId="0" applyNumberFormat="1" applyFont="1" applyFill="1" applyBorder="1" applyAlignment="1" applyProtection="1">
      <alignment horizontal="right"/>
    </xf>
    <xf numFmtId="1" fontId="1" fillId="0" borderId="1" xfId="0" applyNumberFormat="1" applyFont="1" applyFill="1" applyBorder="1" applyAlignment="1" applyProtection="1">
      <alignment horizontal="center"/>
    </xf>
    <xf numFmtId="1" fontId="8" fillId="0" borderId="3" xfId="0" applyNumberFormat="1" applyFont="1" applyFill="1" applyBorder="1" applyAlignment="1" applyProtection="1">
      <alignment horizontal="center"/>
    </xf>
    <xf numFmtId="1" fontId="8" fillId="0" borderId="1" xfId="0" applyNumberFormat="1" applyFont="1" applyFill="1" applyBorder="1" applyAlignment="1" applyProtection="1">
      <alignment horizontal="center"/>
    </xf>
    <xf numFmtId="1" fontId="8" fillId="0" borderId="3" xfId="0" applyNumberFormat="1" applyFont="1" applyFill="1" applyBorder="1" applyProtection="1"/>
    <xf numFmtId="0" fontId="1" fillId="0" borderId="2" xfId="0" applyFont="1" applyFill="1" applyBorder="1" applyProtection="1"/>
    <xf numFmtId="41" fontId="1" fillId="0" borderId="3" xfId="0" applyNumberFormat="1" applyFont="1" applyFill="1" applyBorder="1" applyAlignment="1" applyProtection="1">
      <alignment horizontal="center"/>
    </xf>
    <xf numFmtId="164" fontId="1" fillId="0" borderId="1" xfId="0" applyNumberFormat="1" applyFont="1" applyFill="1" applyBorder="1" applyAlignment="1" applyProtection="1">
      <alignment horizontal="center"/>
    </xf>
    <xf numFmtId="41" fontId="8" fillId="0" borderId="3" xfId="0" applyNumberFormat="1" applyFont="1" applyFill="1" applyBorder="1" applyAlignment="1" applyProtection="1">
      <alignment horizontal="center"/>
    </xf>
    <xf numFmtId="164" fontId="8" fillId="0" borderId="1" xfId="0" applyNumberFormat="1" applyFont="1" applyFill="1" applyBorder="1" applyAlignment="1" applyProtection="1">
      <alignment horizontal="center"/>
    </xf>
    <xf numFmtId="41" fontId="1" fillId="0" borderId="0" xfId="0" applyNumberFormat="1" applyFont="1" applyAlignment="1" applyProtection="1">
      <alignment horizontal="center"/>
    </xf>
    <xf numFmtId="41" fontId="0" fillId="0" borderId="3" xfId="0" applyNumberFormat="1" applyFill="1" applyBorder="1" applyAlignment="1" applyProtection="1">
      <alignment horizontal="center"/>
    </xf>
    <xf numFmtId="164" fontId="0" fillId="0" borderId="1" xfId="0" applyNumberFormat="1" applyFill="1" applyBorder="1" applyAlignment="1" applyProtection="1">
      <alignment horizontal="center"/>
    </xf>
    <xf numFmtId="41" fontId="3" fillId="0" borderId="3" xfId="0" applyNumberFormat="1" applyFont="1" applyFill="1" applyBorder="1" applyAlignment="1" applyProtection="1">
      <alignment horizontal="center"/>
    </xf>
    <xf numFmtId="164" fontId="3" fillId="0" borderId="1" xfId="0" applyNumberFormat="1" applyFont="1" applyFill="1" applyBorder="1" applyAlignment="1" applyProtection="1">
      <alignment horizontal="center"/>
    </xf>
    <xf numFmtId="41" fontId="3" fillId="0" borderId="0" xfId="0" applyNumberFormat="1" applyFont="1" applyFill="1" applyAlignment="1" applyProtection="1">
      <alignment horizontal="center"/>
    </xf>
    <xf numFmtId="0" fontId="2" fillId="0" borderId="2" xfId="0" applyFont="1" applyFill="1" applyBorder="1" applyProtection="1"/>
    <xf numFmtId="41" fontId="2" fillId="0" borderId="3" xfId="0" applyNumberFormat="1" applyFont="1" applyFill="1" applyBorder="1" applyAlignment="1" applyProtection="1">
      <alignment horizontal="center"/>
    </xf>
    <xf numFmtId="164" fontId="2" fillId="0" borderId="1" xfId="0" applyNumberFormat="1" applyFont="1" applyFill="1" applyBorder="1" applyAlignment="1" applyProtection="1">
      <alignment horizontal="center"/>
    </xf>
    <xf numFmtId="41" fontId="1" fillId="0" borderId="0" xfId="0" applyNumberFormat="1" applyFont="1" applyFill="1" applyAlignment="1" applyProtection="1">
      <alignment horizontal="center"/>
    </xf>
    <xf numFmtId="164" fontId="7" fillId="0" borderId="1" xfId="0" applyNumberFormat="1" applyFont="1" applyFill="1" applyBorder="1" applyAlignment="1" applyProtection="1">
      <alignment horizontal="center"/>
    </xf>
    <xf numFmtId="0" fontId="1" fillId="0" borderId="7" xfId="0" applyFont="1" applyFill="1" applyBorder="1" applyProtection="1"/>
    <xf numFmtId="41" fontId="1" fillId="0" borderId="9" xfId="0" applyNumberFormat="1" applyFont="1" applyFill="1" applyBorder="1" applyAlignment="1" applyProtection="1">
      <alignment horizontal="center"/>
    </xf>
    <xf numFmtId="164" fontId="1" fillId="0" borderId="4" xfId="0" applyNumberFormat="1" applyFont="1" applyFill="1" applyBorder="1" applyAlignment="1" applyProtection="1">
      <alignment horizontal="center"/>
    </xf>
    <xf numFmtId="41" fontId="8" fillId="0" borderId="9" xfId="0" applyNumberFormat="1" applyFont="1" applyFill="1" applyBorder="1" applyAlignment="1" applyProtection="1">
      <alignment horizontal="center"/>
    </xf>
    <xf numFmtId="164" fontId="8" fillId="0" borderId="4" xfId="0" applyNumberFormat="1" applyFont="1" applyFill="1" applyBorder="1" applyAlignment="1" applyProtection="1">
      <alignment horizontal="center"/>
    </xf>
    <xf numFmtId="0" fontId="1" fillId="0" borderId="10" xfId="0" applyFont="1" applyBorder="1" applyProtection="1"/>
    <xf numFmtId="41" fontId="1" fillId="0" borderId="10" xfId="0" applyNumberFormat="1" applyFont="1" applyBorder="1" applyProtection="1"/>
    <xf numFmtId="164" fontId="1" fillId="0" borderId="11" xfId="0" applyNumberFormat="1" applyFont="1" applyFill="1" applyBorder="1" applyAlignment="1" applyProtection="1">
      <alignment horizontal="center"/>
    </xf>
    <xf numFmtId="0" fontId="1" fillId="0" borderId="0" xfId="0" applyFont="1" applyProtection="1"/>
    <xf numFmtId="0" fontId="4" fillId="0" borderId="10" xfId="0" applyFont="1" applyBorder="1" applyProtection="1"/>
    <xf numFmtId="41" fontId="4" fillId="0" borderId="10" xfId="0" applyNumberFormat="1" applyFont="1" applyBorder="1" applyProtection="1"/>
    <xf numFmtId="164" fontId="4" fillId="0" borderId="11" xfId="0" applyNumberFormat="1" applyFont="1" applyFill="1" applyBorder="1" applyAlignment="1" applyProtection="1">
      <alignment horizontal="center"/>
    </xf>
    <xf numFmtId="0" fontId="1" fillId="0" borderId="0" xfId="0" applyFont="1" applyBorder="1" applyProtection="1"/>
    <xf numFmtId="41" fontId="1" fillId="0" borderId="0" xfId="0" applyNumberFormat="1" applyFont="1" applyBorder="1" applyProtection="1"/>
    <xf numFmtId="164" fontId="1" fillId="0" borderId="0" xfId="0" applyNumberFormat="1" applyFont="1" applyFill="1" applyBorder="1" applyAlignment="1" applyProtection="1">
      <alignment horizontal="center"/>
    </xf>
    <xf numFmtId="0" fontId="9" fillId="0" borderId="10" xfId="0" applyFont="1" applyBorder="1" applyProtection="1"/>
    <xf numFmtId="41" fontId="9" fillId="0" borderId="10" xfId="0" applyNumberFormat="1" applyFont="1" applyBorder="1" applyProtection="1"/>
    <xf numFmtId="164" fontId="9" fillId="0" borderId="11" xfId="0" applyNumberFormat="1" applyFont="1" applyFill="1" applyBorder="1" applyAlignment="1" applyProtection="1">
      <alignment horizontal="center"/>
    </xf>
    <xf numFmtId="41" fontId="0" fillId="0" borderId="0" xfId="0" applyNumberFormat="1" applyProtection="1"/>
    <xf numFmtId="0" fontId="10" fillId="0" borderId="0" xfId="0" applyFont="1"/>
    <xf numFmtId="1" fontId="1" fillId="2" borderId="5" xfId="0" applyNumberFormat="1" applyFont="1" applyFill="1" applyBorder="1" applyAlignment="1" applyProtection="1">
      <alignment horizontal="right"/>
      <protection locked="0"/>
    </xf>
    <xf numFmtId="1" fontId="1" fillId="2" borderId="2" xfId="0" applyNumberFormat="1" applyFont="1" applyFill="1" applyBorder="1" applyAlignment="1" applyProtection="1">
      <alignment horizontal="right"/>
      <protection locked="0"/>
    </xf>
    <xf numFmtId="1" fontId="1" fillId="2" borderId="7" xfId="0" applyNumberFormat="1" applyFont="1" applyFill="1" applyBorder="1" applyAlignment="1" applyProtection="1">
      <alignment horizontal="right"/>
      <protection locked="0"/>
    </xf>
    <xf numFmtId="1" fontId="6" fillId="2" borderId="7" xfId="0" applyNumberFormat="1" applyFont="1" applyFill="1" applyBorder="1" applyAlignment="1" applyProtection="1">
      <alignment horizontal="right"/>
      <protection locked="0"/>
    </xf>
    <xf numFmtId="41" fontId="0" fillId="2" borderId="5" xfId="0" applyNumberFormat="1" applyFill="1" applyBorder="1" applyAlignment="1" applyProtection="1">
      <alignment horizontal="center"/>
      <protection locked="0"/>
    </xf>
    <xf numFmtId="41" fontId="0" fillId="2" borderId="2" xfId="0" applyNumberFormat="1" applyFill="1" applyBorder="1" applyAlignment="1" applyProtection="1">
      <alignment horizontal="center"/>
      <protection locked="0"/>
    </xf>
    <xf numFmtId="41" fontId="0" fillId="2" borderId="7" xfId="0" applyNumberFormat="1" applyFill="1" applyBorder="1" applyAlignment="1" applyProtection="1">
      <alignment horizontal="center"/>
      <protection locked="0"/>
    </xf>
    <xf numFmtId="41" fontId="3" fillId="2" borderId="5" xfId="0" applyNumberFormat="1" applyFont="1" applyFill="1" applyBorder="1" applyAlignment="1" applyProtection="1">
      <alignment horizontal="center"/>
      <protection locked="0"/>
    </xf>
    <xf numFmtId="41" fontId="0" fillId="2" borderId="7" xfId="0" applyNumberFormat="1" applyFont="1" applyFill="1" applyBorder="1" applyAlignment="1" applyProtection="1">
      <alignment horizontal="center"/>
      <protection locked="0"/>
    </xf>
    <xf numFmtId="41" fontId="1" fillId="2" borderId="12" xfId="0" applyNumberFormat="1" applyFont="1" applyFill="1" applyBorder="1" applyAlignment="1" applyProtection="1">
      <alignment horizontal="center"/>
      <protection locked="0"/>
    </xf>
    <xf numFmtId="164" fontId="3" fillId="2" borderId="5" xfId="0" applyNumberFormat="1" applyFont="1" applyFill="1" applyBorder="1" applyAlignment="1" applyProtection="1">
      <alignment horizontal="center"/>
      <protection locked="0"/>
    </xf>
    <xf numFmtId="164" fontId="0" fillId="2" borderId="2" xfId="0" applyNumberFormat="1" applyFill="1" applyBorder="1" applyAlignment="1" applyProtection="1">
      <alignment horizontal="center"/>
      <protection locked="0"/>
    </xf>
    <xf numFmtId="164" fontId="3" fillId="2" borderId="2" xfId="0" applyNumberFormat="1" applyFont="1" applyFill="1" applyBorder="1" applyAlignment="1" applyProtection="1">
      <alignment horizontal="center"/>
      <protection locked="0"/>
    </xf>
    <xf numFmtId="164" fontId="0" fillId="2" borderId="7" xfId="0" applyNumberFormat="1" applyFill="1" applyBorder="1" applyAlignment="1" applyProtection="1">
      <alignment horizontal="center"/>
      <protection locked="0"/>
    </xf>
    <xf numFmtId="164" fontId="7" fillId="2" borderId="5" xfId="0" applyNumberFormat="1" applyFont="1" applyFill="1" applyBorder="1" applyAlignment="1" applyProtection="1">
      <alignment horizontal="center"/>
      <protection locked="0"/>
    </xf>
    <xf numFmtId="164" fontId="3" fillId="2" borderId="7" xfId="0" applyNumberFormat="1" applyFont="1" applyFill="1" applyBorder="1" applyAlignment="1" applyProtection="1">
      <alignment horizontal="center"/>
      <protection locked="0"/>
    </xf>
    <xf numFmtId="164" fontId="0" fillId="2" borderId="5" xfId="0" applyNumberFormat="1" applyFill="1" applyBorder="1" applyAlignment="1" applyProtection="1">
      <alignment horizontal="center"/>
      <protection locked="0"/>
    </xf>
    <xf numFmtId="0" fontId="0" fillId="0" borderId="0" xfId="0" applyFont="1" applyAlignment="1" applyProtection="1">
      <alignment horizontal="right"/>
      <protection locked="0"/>
    </xf>
    <xf numFmtId="0" fontId="0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49" fontId="0" fillId="3" borderId="0" xfId="0" applyNumberFormat="1" applyFont="1" applyFill="1" applyAlignment="1" applyProtection="1">
      <alignment horizontal="center"/>
      <protection locked="0"/>
    </xf>
    <xf numFmtId="14" fontId="0" fillId="3" borderId="0" xfId="0" applyNumberFormat="1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245053</xdr:colOff>
      <xdr:row>0</xdr:row>
      <xdr:rowOff>9524</xdr:rowOff>
    </xdr:from>
    <xdr:to>
      <xdr:col>11</xdr:col>
      <xdr:colOff>28576</xdr:colOff>
      <xdr:row>2</xdr:row>
      <xdr:rowOff>178594</xdr:rowOff>
    </xdr:to>
    <xdr:pic>
      <xdr:nvPicPr>
        <xdr:cNvPr id="1031" name="Picture 4" descr="C:\Users\TIM MCCLAIN\AppData\Local\Microsoft\Windows\Temporary Internet Files\Content.Word\11024 Cornerstone Solutions Package_logo.jpg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1147" y="9524"/>
          <a:ext cx="2123101" cy="74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view="pageLayout" topLeftCell="A19" zoomScale="160" zoomScaleNormal="100" zoomScalePageLayoutView="160" workbookViewId="0">
      <selection activeCell="C2" sqref="C2"/>
    </sheetView>
  </sheetViews>
  <sheetFormatPr defaultColWidth="8.85546875" defaultRowHeight="15" x14ac:dyDescent="0.25"/>
  <cols>
    <col min="1" max="1" width="23.42578125" customWidth="1"/>
    <col min="2" max="2" width="12.7109375" customWidth="1"/>
    <col min="3" max="3" width="7" customWidth="1"/>
    <col min="4" max="4" width="12.85546875" customWidth="1"/>
    <col min="5" max="5" width="7" customWidth="1"/>
    <col min="6" max="6" width="12.7109375" customWidth="1"/>
    <col min="7" max="7" width="7" customWidth="1"/>
    <col min="8" max="8" width="13" customWidth="1"/>
    <col min="9" max="9" width="7" customWidth="1"/>
    <col min="10" max="10" width="12" customWidth="1"/>
    <col min="11" max="11" width="7" customWidth="1"/>
    <col min="13" max="13" width="6.140625" customWidth="1"/>
  </cols>
  <sheetData>
    <row r="1" spans="1:12" ht="29.25" customHeight="1" x14ac:dyDescent="0.25"/>
    <row r="2" spans="1:12" ht="10.5" customHeight="1" x14ac:dyDescent="0.25"/>
    <row r="3" spans="1:12" ht="6.75" customHeight="1" x14ac:dyDescent="0.25">
      <c r="B3" s="102"/>
    </row>
    <row r="4" spans="1:12" s="121" customFormat="1" ht="17.25" customHeight="1" x14ac:dyDescent="0.25">
      <c r="A4" s="120" t="s">
        <v>31</v>
      </c>
      <c r="B4" s="124" t="s">
        <v>34</v>
      </c>
      <c r="C4" s="124"/>
      <c r="D4" s="124"/>
      <c r="E4" s="124"/>
      <c r="F4" s="120" t="s">
        <v>32</v>
      </c>
      <c r="G4" s="124" t="s">
        <v>35</v>
      </c>
      <c r="H4" s="124"/>
      <c r="I4" s="120" t="s">
        <v>33</v>
      </c>
      <c r="J4" s="125">
        <v>40922</v>
      </c>
      <c r="K4" s="125"/>
    </row>
    <row r="5" spans="1:12" ht="6.95" customHeight="1" thickBot="1" x14ac:dyDescent="0.3"/>
    <row r="6" spans="1:12" s="3" customFormat="1" ht="15" customHeight="1" x14ac:dyDescent="0.25">
      <c r="A6" s="16" t="s">
        <v>12</v>
      </c>
      <c r="B6" s="103">
        <v>2011</v>
      </c>
      <c r="C6" s="17"/>
      <c r="D6" s="103">
        <v>2010</v>
      </c>
      <c r="E6" s="17"/>
      <c r="F6" s="103">
        <v>2009</v>
      </c>
      <c r="G6" s="17"/>
      <c r="H6" s="103">
        <v>2008</v>
      </c>
      <c r="I6" s="17"/>
      <c r="J6" s="29"/>
      <c r="K6" s="30"/>
      <c r="L6" s="4"/>
    </row>
    <row r="7" spans="1:12" s="3" customFormat="1" ht="15" customHeight="1" x14ac:dyDescent="0.25">
      <c r="A7" s="18" t="s">
        <v>13</v>
      </c>
      <c r="B7" s="104">
        <v>11</v>
      </c>
      <c r="C7" s="19"/>
      <c r="D7" s="104">
        <v>12</v>
      </c>
      <c r="E7" s="19"/>
      <c r="F7" s="104">
        <v>12</v>
      </c>
      <c r="G7" s="19"/>
      <c r="H7" s="104">
        <v>12</v>
      </c>
      <c r="I7" s="19"/>
      <c r="J7" s="31"/>
      <c r="K7" s="32"/>
      <c r="L7" s="4"/>
    </row>
    <row r="8" spans="1:12" s="3" customFormat="1" ht="15" customHeight="1" thickBot="1" x14ac:dyDescent="0.3">
      <c r="A8" s="18" t="s">
        <v>14</v>
      </c>
      <c r="B8" s="105" t="s">
        <v>30</v>
      </c>
      <c r="C8" s="19"/>
      <c r="D8" s="106" t="s">
        <v>15</v>
      </c>
      <c r="E8" s="19"/>
      <c r="F8" s="105" t="s">
        <v>29</v>
      </c>
      <c r="G8" s="19"/>
      <c r="H8" s="105" t="s">
        <v>29</v>
      </c>
      <c r="I8" s="19"/>
      <c r="J8" s="46" t="s">
        <v>25</v>
      </c>
      <c r="K8" s="32"/>
      <c r="L8" s="4"/>
    </row>
    <row r="9" spans="1:12" s="1" customFormat="1" ht="13.5" customHeight="1" thickBot="1" x14ac:dyDescent="0.3">
      <c r="A9" s="20" t="s">
        <v>0</v>
      </c>
      <c r="B9" s="21"/>
      <c r="C9" s="14"/>
      <c r="D9" s="21"/>
      <c r="E9" s="14"/>
      <c r="F9" s="21"/>
      <c r="G9" s="14"/>
      <c r="H9" s="21"/>
      <c r="I9" s="14"/>
      <c r="J9" s="33"/>
      <c r="K9" s="28"/>
      <c r="L9" s="2"/>
    </row>
    <row r="10" spans="1:12" x14ac:dyDescent="0.25">
      <c r="A10" s="20"/>
      <c r="B10" s="107">
        <v>750000</v>
      </c>
      <c r="C10" s="5">
        <f>SUM(B10/B$13)</f>
        <v>0.88235294117647056</v>
      </c>
      <c r="D10" s="107">
        <v>424761</v>
      </c>
      <c r="E10" s="5">
        <f>SUM(D10/D$13)</f>
        <v>0.67987758518857611</v>
      </c>
      <c r="F10" s="107">
        <v>398292</v>
      </c>
      <c r="G10" s="5">
        <f>SUM(F10/F$13)</f>
        <v>0.66571506889612431</v>
      </c>
      <c r="H10" s="107">
        <v>421524</v>
      </c>
      <c r="I10" s="5">
        <f>SUM(H10/H$13)</f>
        <v>0.67821033459689406</v>
      </c>
      <c r="J10" s="34">
        <f>SUM(B10:I10)</f>
        <v>1994579.9061559299</v>
      </c>
      <c r="K10" s="28">
        <f>SUM(J10/J$13)</f>
        <v>0.74021894541523525</v>
      </c>
    </row>
    <row r="11" spans="1:12" x14ac:dyDescent="0.25">
      <c r="A11" s="37"/>
      <c r="B11" s="108">
        <v>100000</v>
      </c>
      <c r="C11" s="5">
        <f>SUM(B11/B$13)</f>
        <v>0.11764705882352941</v>
      </c>
      <c r="D11" s="108">
        <v>100000</v>
      </c>
      <c r="E11" s="5">
        <f>SUM(D11/D$13)</f>
        <v>0.16006120740571195</v>
      </c>
      <c r="F11" s="108">
        <v>100000</v>
      </c>
      <c r="G11" s="5">
        <f>SUM(F11/F$13)</f>
        <v>0.16714246555193785</v>
      </c>
      <c r="H11" s="108">
        <v>100000</v>
      </c>
      <c r="I11" s="5">
        <f>SUM(H11/H$13)</f>
        <v>0.16089483270155297</v>
      </c>
      <c r="J11" s="34">
        <f t="shared" ref="J11:J32" si="0">SUM(B11:I11)</f>
        <v>400000.60574556445</v>
      </c>
      <c r="K11" s="28">
        <f>SUM(J11/J$13)</f>
        <v>0.14844630974001688</v>
      </c>
    </row>
    <row r="12" spans="1:12" ht="15.75" thickBot="1" x14ac:dyDescent="0.3">
      <c r="A12" s="37"/>
      <c r="B12" s="109">
        <v>0</v>
      </c>
      <c r="C12" s="5">
        <f>SUM(B12/B$13)</f>
        <v>0</v>
      </c>
      <c r="D12" s="109">
        <v>100000</v>
      </c>
      <c r="E12" s="5">
        <f>SUM(D12/D$13)</f>
        <v>0.16006120740571195</v>
      </c>
      <c r="F12" s="109">
        <v>100000</v>
      </c>
      <c r="G12" s="5">
        <f>SUM(F12/F$13)</f>
        <v>0.16714246555193785</v>
      </c>
      <c r="H12" s="109">
        <v>100000</v>
      </c>
      <c r="I12" s="5">
        <f>SUM(H12/H$13)</f>
        <v>0.16089483270155297</v>
      </c>
      <c r="J12" s="34">
        <f t="shared" si="0"/>
        <v>300000.48809850565</v>
      </c>
      <c r="K12" s="28">
        <f>SUM(J12/J$13)</f>
        <v>0.11133474484474791</v>
      </c>
    </row>
    <row r="13" spans="1:12" s="1" customFormat="1" ht="15.75" customHeight="1" x14ac:dyDescent="0.25">
      <c r="A13" s="20" t="s">
        <v>1</v>
      </c>
      <c r="B13" s="23">
        <f>SUM(B10:B12)</f>
        <v>850000</v>
      </c>
      <c r="C13" s="14">
        <f>SUM(B13/B$13)</f>
        <v>1</v>
      </c>
      <c r="D13" s="23">
        <f>SUM(D10:D12)</f>
        <v>624761</v>
      </c>
      <c r="E13" s="14">
        <f>SUM(D13/D$13)</f>
        <v>1</v>
      </c>
      <c r="F13" s="23">
        <f>SUM(F10:F12)</f>
        <v>598292</v>
      </c>
      <c r="G13" s="14">
        <f>SUM(F13/F$13)</f>
        <v>1</v>
      </c>
      <c r="H13" s="23">
        <f>SUM(H10:H12)</f>
        <v>621524</v>
      </c>
      <c r="I13" s="14">
        <f>SUM(H13/H$13)</f>
        <v>1</v>
      </c>
      <c r="J13" s="34">
        <f t="shared" si="0"/>
        <v>2694581</v>
      </c>
      <c r="K13" s="28">
        <f>SUM(J13/J$13)</f>
        <v>1</v>
      </c>
      <c r="L13" s="2"/>
    </row>
    <row r="14" spans="1:12" s="1" customFormat="1" ht="13.5" customHeight="1" thickBot="1" x14ac:dyDescent="0.3">
      <c r="A14" s="20" t="s">
        <v>2</v>
      </c>
      <c r="B14" s="23"/>
      <c r="C14" s="14"/>
      <c r="D14" s="23"/>
      <c r="E14" s="14"/>
      <c r="F14" s="23"/>
      <c r="G14" s="14"/>
      <c r="H14" s="23"/>
      <c r="I14" s="14"/>
      <c r="J14" s="34"/>
      <c r="K14" s="28"/>
      <c r="L14" s="2"/>
    </row>
    <row r="15" spans="1:12" s="8" customFormat="1" x14ac:dyDescent="0.25">
      <c r="A15" s="38" t="s">
        <v>16</v>
      </c>
      <c r="B15" s="110">
        <v>49150</v>
      </c>
      <c r="C15" s="6">
        <f t="shared" ref="C15:C20" si="1">SUM(B15/B$13)</f>
        <v>5.7823529411764704E-2</v>
      </c>
      <c r="D15" s="110">
        <v>223973</v>
      </c>
      <c r="E15" s="6">
        <f t="shared" ref="E15:E20" si="2">SUM(D15/D$13)</f>
        <v>0.3584938880627952</v>
      </c>
      <c r="F15" s="110">
        <v>219177</v>
      </c>
      <c r="G15" s="6">
        <f t="shared" ref="G15:G20" si="3">SUM(F15/F$13)</f>
        <v>0.36633784172277084</v>
      </c>
      <c r="H15" s="110">
        <v>213686</v>
      </c>
      <c r="I15" s="6">
        <f t="shared" ref="I15:I20" si="4">SUM(H15/H$13)</f>
        <v>0.34380973220664046</v>
      </c>
      <c r="J15" s="34">
        <f t="shared" si="0"/>
        <v>705987.12646499136</v>
      </c>
      <c r="K15" s="28">
        <f t="shared" ref="K15:K20" si="5">SUM(J15/J$13)</f>
        <v>0.26200256235199143</v>
      </c>
      <c r="L15" s="7"/>
    </row>
    <row r="16" spans="1:12" x14ac:dyDescent="0.25">
      <c r="A16" s="39" t="s">
        <v>17</v>
      </c>
      <c r="B16" s="108">
        <v>17202</v>
      </c>
      <c r="C16" s="5">
        <f t="shared" si="1"/>
        <v>2.023764705882353E-2</v>
      </c>
      <c r="D16" s="108">
        <v>68808</v>
      </c>
      <c r="E16" s="5">
        <f t="shared" si="2"/>
        <v>0.11013491559172227</v>
      </c>
      <c r="F16" s="108">
        <v>65532</v>
      </c>
      <c r="G16" s="5">
        <f t="shared" si="3"/>
        <v>0.10953180052549591</v>
      </c>
      <c r="H16" s="108">
        <v>63723</v>
      </c>
      <c r="I16" s="5">
        <f t="shared" si="4"/>
        <v>0.10252701424241059</v>
      </c>
      <c r="J16" s="34">
        <f t="shared" si="0"/>
        <v>215265.34243137742</v>
      </c>
      <c r="K16" s="28">
        <f t="shared" si="5"/>
        <v>7.9888243267275102E-2</v>
      </c>
    </row>
    <row r="17" spans="1:12" x14ac:dyDescent="0.25">
      <c r="A17" s="39" t="s">
        <v>18</v>
      </c>
      <c r="B17" s="108">
        <v>20000</v>
      </c>
      <c r="C17" s="6">
        <f t="shared" si="1"/>
        <v>2.3529411764705882E-2</v>
      </c>
      <c r="D17" s="108">
        <v>10000</v>
      </c>
      <c r="E17" s="6">
        <f t="shared" si="2"/>
        <v>1.6006120740571193E-2</v>
      </c>
      <c r="F17" s="108">
        <v>20000</v>
      </c>
      <c r="G17" s="6">
        <f t="shared" si="3"/>
        <v>3.3428493110387571E-2</v>
      </c>
      <c r="H17" s="108">
        <v>10000</v>
      </c>
      <c r="I17" s="6">
        <f t="shared" si="4"/>
        <v>1.6089483270155296E-2</v>
      </c>
      <c r="J17" s="34">
        <f t="shared" si="0"/>
        <v>60000.089053508884</v>
      </c>
      <c r="K17" s="28">
        <f t="shared" si="5"/>
        <v>2.2266945789905325E-2</v>
      </c>
    </row>
    <row r="18" spans="1:12" ht="15.75" thickBot="1" x14ac:dyDescent="0.3">
      <c r="A18" s="39" t="s">
        <v>19</v>
      </c>
      <c r="B18" s="109">
        <v>20000</v>
      </c>
      <c r="C18" s="5">
        <f t="shared" si="1"/>
        <v>2.3529411764705882E-2</v>
      </c>
      <c r="D18" s="109">
        <v>10000</v>
      </c>
      <c r="E18" s="5">
        <f t="shared" si="2"/>
        <v>1.6006120740571193E-2</v>
      </c>
      <c r="F18" s="109">
        <v>20000</v>
      </c>
      <c r="G18" s="5">
        <f t="shared" si="3"/>
        <v>3.3428493110387571E-2</v>
      </c>
      <c r="H18" s="109">
        <v>10000</v>
      </c>
      <c r="I18" s="5">
        <f t="shared" si="4"/>
        <v>1.6089483270155296E-2</v>
      </c>
      <c r="J18" s="34">
        <f t="shared" si="0"/>
        <v>60000.089053508884</v>
      </c>
      <c r="K18" s="28">
        <f t="shared" si="5"/>
        <v>2.2266945789905325E-2</v>
      </c>
    </row>
    <row r="19" spans="1:12" s="1" customFormat="1" ht="18" customHeight="1" x14ac:dyDescent="0.25">
      <c r="A19" s="20" t="s">
        <v>3</v>
      </c>
      <c r="B19" s="23">
        <f>SUM(B15:B18)</f>
        <v>106352</v>
      </c>
      <c r="C19" s="14">
        <f t="shared" si="1"/>
        <v>0.12512000000000001</v>
      </c>
      <c r="D19" s="23">
        <f>SUM(D15:D18)</f>
        <v>312781</v>
      </c>
      <c r="E19" s="14">
        <f t="shared" si="2"/>
        <v>0.50064104513565988</v>
      </c>
      <c r="F19" s="23">
        <f>SUM(F15:F18)</f>
        <v>324709</v>
      </c>
      <c r="G19" s="14">
        <f t="shared" si="3"/>
        <v>0.54272662846904185</v>
      </c>
      <c r="H19" s="23">
        <f>SUM(H15:H18)</f>
        <v>297409</v>
      </c>
      <c r="I19" s="14">
        <f t="shared" si="4"/>
        <v>0.47851571298936163</v>
      </c>
      <c r="J19" s="34">
        <f t="shared" si="0"/>
        <v>1041252.6470033866</v>
      </c>
      <c r="K19" s="28">
        <f t="shared" si="5"/>
        <v>0.38642469719907718</v>
      </c>
      <c r="L19" s="2"/>
    </row>
    <row r="20" spans="1:12" s="13" customFormat="1" ht="18.75" customHeight="1" x14ac:dyDescent="0.25">
      <c r="A20" s="10" t="s">
        <v>4</v>
      </c>
      <c r="B20" s="11">
        <f>SUM(B13-B19)</f>
        <v>743648</v>
      </c>
      <c r="C20" s="9">
        <f t="shared" si="1"/>
        <v>0.87487999999999999</v>
      </c>
      <c r="D20" s="11">
        <f>SUM(D13-D19)</f>
        <v>311980</v>
      </c>
      <c r="E20" s="9">
        <f t="shared" si="2"/>
        <v>0.49935895486434012</v>
      </c>
      <c r="F20" s="11">
        <f>SUM(F13-F19)</f>
        <v>273583</v>
      </c>
      <c r="G20" s="9">
        <f t="shared" si="3"/>
        <v>0.45727337153095815</v>
      </c>
      <c r="H20" s="11">
        <f>SUM(H13-H19)</f>
        <v>324115</v>
      </c>
      <c r="I20" s="9">
        <f t="shared" si="4"/>
        <v>0.52148428701063831</v>
      </c>
      <c r="J20" s="34">
        <f t="shared" si="0"/>
        <v>1653328.3529966134</v>
      </c>
      <c r="K20" s="28">
        <f t="shared" si="5"/>
        <v>0.61357530280092276</v>
      </c>
      <c r="L20" s="12"/>
    </row>
    <row r="21" spans="1:12" ht="18" customHeight="1" x14ac:dyDescent="0.25">
      <c r="A21" s="20" t="s">
        <v>11</v>
      </c>
      <c r="B21" s="22"/>
      <c r="C21" s="5"/>
      <c r="D21" s="22"/>
      <c r="E21" s="5"/>
      <c r="F21" s="22"/>
      <c r="G21" s="5"/>
      <c r="H21" s="22"/>
      <c r="I21" s="5"/>
      <c r="J21" s="34"/>
      <c r="K21" s="28"/>
    </row>
    <row r="22" spans="1:12" ht="17.25" customHeight="1" thickBot="1" x14ac:dyDescent="0.3">
      <c r="A22" s="20" t="s">
        <v>6</v>
      </c>
      <c r="B22" s="22"/>
      <c r="C22" s="5"/>
      <c r="D22" s="22"/>
      <c r="E22" s="5"/>
      <c r="F22" s="22"/>
      <c r="G22" s="5"/>
      <c r="H22" s="22"/>
      <c r="I22" s="5"/>
      <c r="J22" s="34"/>
      <c r="K22" s="28"/>
    </row>
    <row r="23" spans="1:12" x14ac:dyDescent="0.25">
      <c r="A23" s="40" t="s">
        <v>5</v>
      </c>
      <c r="B23" s="110">
        <v>639</v>
      </c>
      <c r="C23" s="27">
        <f>SUM(B23/B$13)</f>
        <v>7.5176470588235293E-4</v>
      </c>
      <c r="D23" s="110">
        <v>2546</v>
      </c>
      <c r="E23" s="27">
        <f>SUM(D23/D$13)</f>
        <v>4.0751583405494261E-3</v>
      </c>
      <c r="F23" s="110">
        <v>2425</v>
      </c>
      <c r="G23" s="27">
        <f>SUM(F23/F$13)</f>
        <v>4.0532047896344927E-3</v>
      </c>
      <c r="H23" s="110">
        <v>3633</v>
      </c>
      <c r="I23" s="27">
        <f>SUM(H23/H$13)</f>
        <v>5.8453092720474192E-3</v>
      </c>
      <c r="J23" s="34">
        <f t="shared" si="0"/>
        <v>9243.0147254371077</v>
      </c>
      <c r="K23" s="28">
        <f>SUM(J23/J$13)</f>
        <v>3.4302233725529525E-3</v>
      </c>
    </row>
    <row r="24" spans="1:12" ht="15.75" thickBot="1" x14ac:dyDescent="0.3">
      <c r="A24" s="39" t="s">
        <v>20</v>
      </c>
      <c r="B24" s="111">
        <v>7008</v>
      </c>
      <c r="C24" s="6">
        <f>SUM(B24/B$13)</f>
        <v>8.2447058823529405E-3</v>
      </c>
      <c r="D24" s="111">
        <v>28033</v>
      </c>
      <c r="E24" s="6">
        <f>SUM(D24/D$13)</f>
        <v>4.486995827204323E-2</v>
      </c>
      <c r="F24" s="111">
        <v>10591</v>
      </c>
      <c r="G24" s="6">
        <f>SUM(F24/F$13)</f>
        <v>1.7702058526605738E-2</v>
      </c>
      <c r="H24" s="111">
        <v>26699</v>
      </c>
      <c r="I24" s="6">
        <f>SUM(H24/H$13)</f>
        <v>4.2957311382987626E-2</v>
      </c>
      <c r="J24" s="34">
        <f t="shared" si="0"/>
        <v>72331.113774034049</v>
      </c>
      <c r="K24" s="28">
        <f>SUM(J24/J$13)</f>
        <v>2.6843176647513678E-2</v>
      </c>
    </row>
    <row r="25" spans="1:12" s="1" customFormat="1" ht="19.5" customHeight="1" x14ac:dyDescent="0.25">
      <c r="A25" s="20" t="s">
        <v>7</v>
      </c>
      <c r="B25" s="23">
        <f>SUM(B23:B24)</f>
        <v>7647</v>
      </c>
      <c r="C25" s="14">
        <f>SUM(B25/B$13)</f>
        <v>8.9964705882352933E-3</v>
      </c>
      <c r="D25" s="23">
        <f>SUM(D23:D24)</f>
        <v>30579</v>
      </c>
      <c r="E25" s="14">
        <f>SUM(D25/D$13)</f>
        <v>4.8945116612592654E-2</v>
      </c>
      <c r="F25" s="23">
        <f>SUM(F23:F24)</f>
        <v>13016</v>
      </c>
      <c r="G25" s="14">
        <f>SUM(F25/F$13)</f>
        <v>2.1755263316240229E-2</v>
      </c>
      <c r="H25" s="23">
        <f>SUM(H23:H24)</f>
        <v>30332</v>
      </c>
      <c r="I25" s="14">
        <f>SUM(H25/H$13)</f>
        <v>4.8802620655035045E-2</v>
      </c>
      <c r="J25" s="34">
        <f t="shared" si="0"/>
        <v>81574.12849947119</v>
      </c>
      <c r="K25" s="28">
        <f>SUM(J25/J$13)</f>
        <v>3.0273400020066642E-2</v>
      </c>
      <c r="L25" s="2"/>
    </row>
    <row r="26" spans="1:12" ht="10.5" customHeight="1" thickBot="1" x14ac:dyDescent="0.3">
      <c r="A26" s="24"/>
      <c r="B26" s="22"/>
      <c r="C26" s="5"/>
      <c r="D26" s="22"/>
      <c r="E26" s="5"/>
      <c r="F26" s="22"/>
      <c r="G26" s="5"/>
      <c r="H26" s="22"/>
      <c r="I26" s="5"/>
      <c r="J26" s="34"/>
      <c r="K26" s="28"/>
    </row>
    <row r="27" spans="1:12" x14ac:dyDescent="0.25">
      <c r="A27" s="41" t="s">
        <v>8</v>
      </c>
      <c r="B27" s="107">
        <v>12999</v>
      </c>
      <c r="C27" s="5">
        <f>SUM(B27/B$13)</f>
        <v>1.5292941176470589E-2</v>
      </c>
      <c r="D27" s="107">
        <v>52000</v>
      </c>
      <c r="E27" s="5">
        <f>SUM(D27/D$13)</f>
        <v>8.3231827850970205E-2</v>
      </c>
      <c r="F27" s="107">
        <v>52000</v>
      </c>
      <c r="G27" s="5">
        <f>SUM(F27/F$13)</f>
        <v>8.6914082087007682E-2</v>
      </c>
      <c r="H27" s="107">
        <v>52000</v>
      </c>
      <c r="I27" s="5">
        <f>SUM(H27/H$13)</f>
        <v>8.3665313004807534E-2</v>
      </c>
      <c r="J27" s="34">
        <f t="shared" si="0"/>
        <v>168999.26910416412</v>
      </c>
      <c r="K27" s="28">
        <f>SUM(J27/J$13)</f>
        <v>6.2718199640004926E-2</v>
      </c>
    </row>
    <row r="28" spans="1:12" ht="15.75" thickBot="1" x14ac:dyDescent="0.3">
      <c r="A28" s="39" t="s">
        <v>21</v>
      </c>
      <c r="B28" s="109">
        <v>10000</v>
      </c>
      <c r="C28" s="5">
        <f>SUM(B28/B$13)</f>
        <v>1.1764705882352941E-2</v>
      </c>
      <c r="D28" s="109">
        <v>100</v>
      </c>
      <c r="E28" s="5">
        <f>SUM(D28/D$13)</f>
        <v>1.6006120740571193E-4</v>
      </c>
      <c r="F28" s="109">
        <v>100</v>
      </c>
      <c r="G28" s="5">
        <f>SUM(F28/F$13)</f>
        <v>1.6714246555193785E-4</v>
      </c>
      <c r="H28" s="109">
        <v>100</v>
      </c>
      <c r="I28" s="5">
        <f>SUM(H28/H$13)</f>
        <v>1.6089483270155297E-4</v>
      </c>
      <c r="J28" s="34">
        <f t="shared" si="0"/>
        <v>10300.012252804388</v>
      </c>
      <c r="K28" s="28">
        <f>SUM(J28/J$13)</f>
        <v>3.8224912343716474E-3</v>
      </c>
    </row>
    <row r="29" spans="1:12" x14ac:dyDescent="0.25">
      <c r="A29" s="39" t="s">
        <v>22</v>
      </c>
      <c r="B29" s="25">
        <f>SUM(B31-B25-B27-B28)</f>
        <v>714094</v>
      </c>
      <c r="C29" s="5">
        <f>SUM(B29/B$13)</f>
        <v>0.84011058823529416</v>
      </c>
      <c r="D29" s="25">
        <f>SUM(D31-D25-D27-D28)</f>
        <v>240964</v>
      </c>
      <c r="E29" s="5">
        <f>SUM(D29/D$13)</f>
        <v>0.38568988781309971</v>
      </c>
      <c r="F29" s="25">
        <f>SUM(F31-F25-F27-F28)</f>
        <v>231687</v>
      </c>
      <c r="G29" s="5">
        <f>SUM(F29/F$13)</f>
        <v>0.38724736416331823</v>
      </c>
      <c r="H29" s="25">
        <f>SUM(H31-H25-H27-H28)</f>
        <v>241682</v>
      </c>
      <c r="I29" s="5">
        <f>SUM(H29/H$13)</f>
        <v>0.38885384956976721</v>
      </c>
      <c r="J29" s="34">
        <f t="shared" si="0"/>
        <v>1428429.0019016899</v>
      </c>
      <c r="K29" s="28">
        <f>SUM(J29/J$13)</f>
        <v>0.53011173236272724</v>
      </c>
    </row>
    <row r="30" spans="1:12" ht="12.75" customHeight="1" x14ac:dyDescent="0.25">
      <c r="A30" s="24"/>
      <c r="B30" s="22"/>
      <c r="C30" s="5"/>
      <c r="D30" s="22"/>
      <c r="E30" s="5"/>
      <c r="F30" s="22"/>
      <c r="G30" s="5"/>
      <c r="H30" s="22"/>
      <c r="I30" s="5"/>
      <c r="J30" s="34"/>
      <c r="K30" s="28"/>
    </row>
    <row r="31" spans="1:12" s="1" customFormat="1" ht="15.75" thickBot="1" x14ac:dyDescent="0.3">
      <c r="A31" s="20" t="s">
        <v>9</v>
      </c>
      <c r="B31" s="23">
        <f>SUM(B20-B32)</f>
        <v>744740</v>
      </c>
      <c r="C31" s="14">
        <f>SUM(B31/B$13)</f>
        <v>0.87616470588235296</v>
      </c>
      <c r="D31" s="23">
        <f>SUM(D20-D32)</f>
        <v>323643</v>
      </c>
      <c r="E31" s="14">
        <f>SUM(D31/D$13)</f>
        <v>0.51802689348406827</v>
      </c>
      <c r="F31" s="23">
        <f>SUM(F20-F32)</f>
        <v>296803</v>
      </c>
      <c r="G31" s="14">
        <f>SUM(F31/F$13)</f>
        <v>0.49608385203211808</v>
      </c>
      <c r="H31" s="23">
        <f>SUM(H20-H32)</f>
        <v>324114</v>
      </c>
      <c r="I31" s="14">
        <f>SUM(H31/H$13)</f>
        <v>0.5214826780623113</v>
      </c>
      <c r="J31" s="34">
        <f t="shared" si="0"/>
        <v>1689302.4117581297</v>
      </c>
      <c r="K31" s="28">
        <f>SUM(J31/J$13)</f>
        <v>0.6269258232571705</v>
      </c>
      <c r="L31" s="2"/>
    </row>
    <row r="32" spans="1:12" s="1" customFormat="1" ht="15.75" thickBot="1" x14ac:dyDescent="0.3">
      <c r="A32" s="26" t="s">
        <v>10</v>
      </c>
      <c r="B32" s="112">
        <v>-1092</v>
      </c>
      <c r="C32" s="15">
        <f>SUM(B32/B$13)</f>
        <v>-1.2847058823529413E-3</v>
      </c>
      <c r="D32" s="112">
        <v>-11663</v>
      </c>
      <c r="E32" s="15">
        <f>SUM(D32/D$13)</f>
        <v>-1.8667938619728184E-2</v>
      </c>
      <c r="F32" s="112">
        <v>-23220</v>
      </c>
      <c r="G32" s="15">
        <f>SUM(F32/F$13)</f>
        <v>-3.8810480501159969E-2</v>
      </c>
      <c r="H32" s="112">
        <v>1</v>
      </c>
      <c r="I32" s="15">
        <f>SUM(H32/H$13)</f>
        <v>1.6089483270155295E-6</v>
      </c>
      <c r="J32" s="35">
        <f t="shared" si="0"/>
        <v>-35974.058761516062</v>
      </c>
      <c r="K32" s="36">
        <f>SUM(J32/J$13)</f>
        <v>-1.3350520456247581E-2</v>
      </c>
      <c r="L32" s="2"/>
    </row>
    <row r="33" spans="1:11" s="1" customFormat="1" ht="18" customHeight="1" thickBot="1" x14ac:dyDescent="0.3">
      <c r="A33" s="43" t="s">
        <v>23</v>
      </c>
      <c r="B33" s="44">
        <f>SUM(B27+B32)</f>
        <v>11907</v>
      </c>
      <c r="C33" s="45">
        <f>SUM(B33/B$13)</f>
        <v>1.4008235294117648E-2</v>
      </c>
      <c r="D33" s="44">
        <f>SUM(D27+D32)</f>
        <v>40337</v>
      </c>
      <c r="E33" s="45">
        <f>SUM(D33/D$13)</f>
        <v>6.4563889231242025E-2</v>
      </c>
      <c r="F33" s="44">
        <f>SUM(F27+F32)</f>
        <v>28780</v>
      </c>
      <c r="G33" s="45">
        <f>SUM(F33/F$13)</f>
        <v>4.8103601585847713E-2</v>
      </c>
      <c r="H33" s="44">
        <f>SUM(H27+H32)</f>
        <v>52001</v>
      </c>
      <c r="I33" s="45">
        <f>SUM(H33/H$13)</f>
        <v>8.3666921953134549E-2</v>
      </c>
      <c r="J33" s="44">
        <f>SUM(J27+J32)</f>
        <v>133025.21034264806</v>
      </c>
      <c r="K33" s="45">
        <f>SUM(J33/J$13)</f>
        <v>4.9367679183757347E-2</v>
      </c>
    </row>
  </sheetData>
  <sheetProtection password="CA25" sheet="1" objects="1" scenarios="1"/>
  <mergeCells count="3">
    <mergeCell ref="B4:E4"/>
    <mergeCell ref="G4:H4"/>
    <mergeCell ref="J4:K4"/>
  </mergeCells>
  <phoneticPr fontId="5" type="noConversion"/>
  <pageMargins left="0.25" right="0.25" top="0.75" bottom="0.75" header="0.3" footer="0.3"/>
  <pageSetup orientation="landscape" r:id="rId1"/>
  <headerFooter alignWithMargins="0">
    <oddHeader>&amp;C&amp;"Lucida Grande,Bold"&amp;14Profit &amp; Loss Year over Year comparison</oddHeader>
    <oddFooter>&amp;C
www.cornerstonebusiness.us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zoomScale="175" zoomScaleNormal="175" workbookViewId="0">
      <selection activeCell="G6" sqref="G6"/>
    </sheetView>
  </sheetViews>
  <sheetFormatPr defaultColWidth="8.85546875" defaultRowHeight="15" x14ac:dyDescent="0.25"/>
  <cols>
    <col min="1" max="1" width="7.140625" customWidth="1"/>
    <col min="2" max="2" width="28.140625" customWidth="1"/>
    <col min="3" max="3" width="13" customWidth="1"/>
    <col min="4" max="4" width="16" customWidth="1"/>
    <col min="5" max="5" width="6.140625" customWidth="1"/>
  </cols>
  <sheetData>
    <row r="1" spans="2:6" s="42" customFormat="1" ht="23.1" customHeight="1" x14ac:dyDescent="0.25">
      <c r="B1" s="122" t="s">
        <v>36</v>
      </c>
      <c r="C1" s="126" t="s">
        <v>34</v>
      </c>
      <c r="D1" s="126"/>
      <c r="E1" s="126"/>
      <c r="F1" s="126"/>
    </row>
    <row r="2" spans="2:6" s="42" customFormat="1" ht="23.1" customHeight="1" x14ac:dyDescent="0.25">
      <c r="B2" s="122" t="s">
        <v>37</v>
      </c>
      <c r="C2" s="126" t="s">
        <v>35</v>
      </c>
      <c r="D2" s="126"/>
      <c r="E2" s="123"/>
      <c r="F2" s="123"/>
    </row>
    <row r="3" spans="2:6" s="42" customFormat="1" ht="20.25" customHeight="1" x14ac:dyDescent="0.25">
      <c r="B3" s="122" t="s">
        <v>38</v>
      </c>
      <c r="C3" s="127">
        <v>40922</v>
      </c>
      <c r="D3" s="127"/>
      <c r="E3" s="123"/>
      <c r="F3" s="123"/>
    </row>
    <row r="4" spans="2:6" ht="15.75" thickBot="1" x14ac:dyDescent="0.3"/>
    <row r="5" spans="2:6" s="3" customFormat="1" ht="21" customHeight="1" x14ac:dyDescent="0.25">
      <c r="B5" s="16" t="s">
        <v>12</v>
      </c>
      <c r="C5" s="103">
        <v>2012</v>
      </c>
      <c r="D5" s="17"/>
    </row>
    <row r="6" spans="2:6" s="3" customFormat="1" ht="21" customHeight="1" x14ac:dyDescent="0.25">
      <c r="B6" s="18" t="s">
        <v>13</v>
      </c>
      <c r="C6" s="104">
        <v>12</v>
      </c>
      <c r="D6" s="19"/>
    </row>
    <row r="7" spans="2:6" s="3" customFormat="1" ht="21" customHeight="1" thickBot="1" x14ac:dyDescent="0.3">
      <c r="B7" s="18" t="s">
        <v>14</v>
      </c>
      <c r="C7" s="105" t="s">
        <v>28</v>
      </c>
      <c r="D7" s="19"/>
    </row>
    <row r="8" spans="2:6" s="1" customFormat="1" ht="30.75" customHeight="1" x14ac:dyDescent="0.25">
      <c r="B8" s="20" t="s">
        <v>1</v>
      </c>
      <c r="C8" s="23">
        <f>SUM('P&amp;L 4 years'!B13)</f>
        <v>850000</v>
      </c>
      <c r="D8" s="14">
        <f>SUM(C8/C$8)</f>
        <v>1</v>
      </c>
    </row>
    <row r="9" spans="2:6" x14ac:dyDescent="0.25">
      <c r="B9" s="24"/>
      <c r="C9" s="22"/>
      <c r="D9" s="5"/>
    </row>
    <row r="10" spans="2:6" s="1" customFormat="1" ht="15.75" thickBot="1" x14ac:dyDescent="0.3">
      <c r="B10" s="20" t="s">
        <v>2</v>
      </c>
      <c r="C10" s="23"/>
      <c r="D10" s="14"/>
    </row>
    <row r="11" spans="2:6" s="8" customFormat="1" x14ac:dyDescent="0.25">
      <c r="B11" s="38" t="s">
        <v>16</v>
      </c>
      <c r="C11" s="75">
        <f>SUM(C$8*D11)</f>
        <v>187000</v>
      </c>
      <c r="D11" s="113">
        <v>0.22</v>
      </c>
    </row>
    <row r="12" spans="2:6" x14ac:dyDescent="0.25">
      <c r="B12" s="39" t="s">
        <v>17</v>
      </c>
      <c r="C12" s="75">
        <f>SUM(C$8*D12)</f>
        <v>194650</v>
      </c>
      <c r="D12" s="114">
        <v>0.22900000000000001</v>
      </c>
    </row>
    <row r="13" spans="2:6" x14ac:dyDescent="0.25">
      <c r="B13" s="39" t="s">
        <v>18</v>
      </c>
      <c r="C13" s="75">
        <f>SUM(C$8*D13)</f>
        <v>22950</v>
      </c>
      <c r="D13" s="115">
        <v>2.7E-2</v>
      </c>
    </row>
    <row r="14" spans="2:6" ht="15.75" thickBot="1" x14ac:dyDescent="0.3">
      <c r="B14" s="39" t="s">
        <v>19</v>
      </c>
      <c r="C14" s="75">
        <f>SUM(C$8*D14)</f>
        <v>1700</v>
      </c>
      <c r="D14" s="116">
        <v>2E-3</v>
      </c>
    </row>
    <row r="15" spans="2:6" s="1" customFormat="1" ht="21.75" customHeight="1" x14ac:dyDescent="0.25">
      <c r="B15" s="20" t="s">
        <v>3</v>
      </c>
      <c r="C15" s="68">
        <f>SUM(C11:C14)</f>
        <v>406300</v>
      </c>
      <c r="D15" s="14">
        <f>SUM(C15/C$8)</f>
        <v>0.47799999999999998</v>
      </c>
    </row>
    <row r="16" spans="2:6" x14ac:dyDescent="0.25">
      <c r="B16" s="24"/>
      <c r="C16" s="73"/>
      <c r="D16" s="5"/>
    </row>
    <row r="17" spans="2:4" s="13" customFormat="1" ht="18.75" customHeight="1" x14ac:dyDescent="0.25">
      <c r="B17" s="10" t="s">
        <v>4</v>
      </c>
      <c r="C17" s="79">
        <f>SUM(C8-C15)</f>
        <v>443700</v>
      </c>
      <c r="D17" s="9">
        <f>SUM(C17/C$8)</f>
        <v>0.52200000000000002</v>
      </c>
    </row>
    <row r="18" spans="2:4" ht="27" customHeight="1" x14ac:dyDescent="0.25">
      <c r="B18" s="20" t="s">
        <v>11</v>
      </c>
      <c r="C18" s="73"/>
      <c r="D18" s="5"/>
    </row>
    <row r="19" spans="2:4" ht="21" customHeight="1" thickBot="1" x14ac:dyDescent="0.3">
      <c r="B19" s="20" t="s">
        <v>6</v>
      </c>
      <c r="C19" s="73"/>
      <c r="D19" s="5"/>
    </row>
    <row r="20" spans="2:4" x14ac:dyDescent="0.25">
      <c r="B20" s="40" t="s">
        <v>5</v>
      </c>
      <c r="C20" s="75">
        <f>SUM(C$8*D20)</f>
        <v>2550</v>
      </c>
      <c r="D20" s="117">
        <v>3.0000000000000001E-3</v>
      </c>
    </row>
    <row r="21" spans="2:4" ht="15.75" thickBot="1" x14ac:dyDescent="0.3">
      <c r="B21" s="39" t="s">
        <v>20</v>
      </c>
      <c r="C21" s="75">
        <f>SUM(C$8*D21)</f>
        <v>7649.9999999999991</v>
      </c>
      <c r="D21" s="118">
        <v>8.9999999999999993E-3</v>
      </c>
    </row>
    <row r="22" spans="2:4" s="1" customFormat="1" ht="19.5" customHeight="1" x14ac:dyDescent="0.25">
      <c r="B22" s="20" t="s">
        <v>7</v>
      </c>
      <c r="C22" s="68">
        <f>SUM(C20:C21)</f>
        <v>10200</v>
      </c>
      <c r="D22" s="14">
        <f>SUM(C22/C$8)</f>
        <v>1.2E-2</v>
      </c>
    </row>
    <row r="23" spans="2:4" ht="15.75" thickBot="1" x14ac:dyDescent="0.3">
      <c r="B23" s="24"/>
      <c r="C23" s="73"/>
      <c r="D23" s="5"/>
    </row>
    <row r="24" spans="2:4" x14ac:dyDescent="0.25">
      <c r="B24" s="41" t="s">
        <v>8</v>
      </c>
      <c r="C24" s="73">
        <f>SUM(C8*D24)</f>
        <v>88400</v>
      </c>
      <c r="D24" s="119">
        <v>0.104</v>
      </c>
    </row>
    <row r="25" spans="2:4" x14ac:dyDescent="0.25">
      <c r="B25" s="39" t="s">
        <v>21</v>
      </c>
      <c r="C25" s="73">
        <f>SUM(C$8*D25)</f>
        <v>18700</v>
      </c>
      <c r="D25" s="114">
        <v>2.1999999999999999E-2</v>
      </c>
    </row>
    <row r="26" spans="2:4" ht="15.75" thickBot="1" x14ac:dyDescent="0.3">
      <c r="B26" s="39" t="s">
        <v>22</v>
      </c>
      <c r="C26" s="73">
        <f>SUM(C$8*D26)</f>
        <v>170850</v>
      </c>
      <c r="D26" s="116">
        <v>0.20100000000000001</v>
      </c>
    </row>
    <row r="27" spans="2:4" x14ac:dyDescent="0.25">
      <c r="B27" s="24"/>
      <c r="C27" s="73"/>
      <c r="D27" s="5"/>
    </row>
    <row r="28" spans="2:4" s="1" customFormat="1" x14ac:dyDescent="0.25">
      <c r="B28" s="20" t="s">
        <v>9</v>
      </c>
      <c r="C28" s="68">
        <f>SUM(C22:C26)</f>
        <v>288150</v>
      </c>
      <c r="D28" s="14">
        <f>SUM(C28/C$8)</f>
        <v>0.33900000000000002</v>
      </c>
    </row>
    <row r="29" spans="2:4" x14ac:dyDescent="0.25">
      <c r="B29" s="24"/>
      <c r="C29" s="73"/>
      <c r="D29" s="5"/>
    </row>
    <row r="30" spans="2:4" s="1" customFormat="1" ht="15.75" thickBot="1" x14ac:dyDescent="0.3">
      <c r="B30" s="26" t="s">
        <v>10</v>
      </c>
      <c r="C30" s="84">
        <f>SUM(C17-C28)</f>
        <v>155550</v>
      </c>
      <c r="D30" s="15">
        <f>SUM(C30/C$8)</f>
        <v>0.183</v>
      </c>
    </row>
    <row r="31" spans="2:4" ht="15.75" thickBot="1" x14ac:dyDescent="0.3"/>
    <row r="32" spans="2:4" s="1" customFormat="1" ht="18" customHeight="1" thickBot="1" x14ac:dyDescent="0.3">
      <c r="B32" s="43" t="s">
        <v>23</v>
      </c>
      <c r="C32" s="44">
        <f>SUM(C24+C30)</f>
        <v>243950</v>
      </c>
      <c r="D32" s="45">
        <f>SUM(C32/C$8)</f>
        <v>0.28699999999999998</v>
      </c>
    </row>
    <row r="33" spans="2:4" s="1" customFormat="1" ht="18" customHeight="1" thickBot="1" x14ac:dyDescent="0.3">
      <c r="B33" s="47"/>
      <c r="C33" s="48"/>
      <c r="D33" s="49"/>
    </row>
    <row r="34" spans="2:4" s="1" customFormat="1" ht="18.75" customHeight="1" thickBot="1" x14ac:dyDescent="0.3">
      <c r="B34" s="50" t="s">
        <v>26</v>
      </c>
      <c r="C34" s="51">
        <f>SUM('P&amp;L 4 years'!B33)</f>
        <v>11907</v>
      </c>
      <c r="D34" s="52">
        <f>SUM(C34/C$8)</f>
        <v>1.4008235294117648E-2</v>
      </c>
    </row>
    <row r="35" spans="2:4" s="1" customFormat="1" ht="18.75" customHeight="1" thickBot="1" x14ac:dyDescent="0.3">
      <c r="B35" s="47"/>
      <c r="C35" s="48"/>
      <c r="D35" s="49"/>
    </row>
    <row r="36" spans="2:4" s="1" customFormat="1" ht="36" customHeight="1" thickBot="1" x14ac:dyDescent="0.3">
      <c r="B36" s="53" t="s">
        <v>27</v>
      </c>
      <c r="C36" s="54">
        <f>SUM(C34-C32)</f>
        <v>-232043</v>
      </c>
      <c r="D36" s="55">
        <f>SUM(C36/C$8)</f>
        <v>-0.27299176470588238</v>
      </c>
    </row>
  </sheetData>
  <sheetProtection password="CA25" sheet="1" objects="1" scenarios="1"/>
  <mergeCells count="3">
    <mergeCell ref="C1:F1"/>
    <mergeCell ref="C2:D2"/>
    <mergeCell ref="C3:D3"/>
  </mergeCells>
  <phoneticPr fontId="5" type="noConversion"/>
  <printOptions horizontalCentered="1" verticalCentered="1"/>
  <pageMargins left="0.5" right="0.25" top="0.75" bottom="0" header="0.5" footer="0.5"/>
  <pageSetup orientation="portrait" r:id="rId1"/>
  <headerFooter alignWithMargins="0">
    <oddHeader>&amp;C&amp;"Lucida Grande,Bold"&amp;14PEAK PERFORMANCE POTENTIAL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view="pageLayout" zoomScale="160" zoomScaleNormal="100" zoomScalePageLayoutView="160" workbookViewId="0">
      <selection activeCell="J3" sqref="J3"/>
    </sheetView>
  </sheetViews>
  <sheetFormatPr defaultColWidth="8.85546875" defaultRowHeight="15" x14ac:dyDescent="0.25"/>
  <cols>
    <col min="1" max="1" width="23.42578125" customWidth="1"/>
    <col min="2" max="2" width="12" customWidth="1"/>
    <col min="3" max="3" width="10.140625" customWidth="1"/>
    <col min="4" max="4" width="10.42578125" customWidth="1"/>
    <col min="5" max="5" width="9" customWidth="1"/>
    <col min="6" max="6" width="10.5703125" customWidth="1"/>
    <col min="7" max="7" width="8" customWidth="1"/>
    <col min="8" max="8" width="12.140625" customWidth="1"/>
    <col min="9" max="9" width="10.5703125" customWidth="1"/>
    <col min="10" max="10" width="12" customWidth="1"/>
    <col min="11" max="11" width="10.28515625" customWidth="1"/>
    <col min="13" max="13" width="6.140625" customWidth="1"/>
  </cols>
  <sheetData>
    <row r="1" spans="1:12" s="42" customFormat="1" ht="23.1" customHeight="1" x14ac:dyDescent="0.25">
      <c r="A1" s="122" t="s">
        <v>36</v>
      </c>
      <c r="B1" s="126" t="s">
        <v>34</v>
      </c>
      <c r="C1" s="126"/>
      <c r="D1" s="126"/>
      <c r="E1" s="126"/>
      <c r="G1" s="56"/>
      <c r="I1" s="56"/>
    </row>
    <row r="2" spans="1:12" s="42" customFormat="1" ht="23.1" customHeight="1" x14ac:dyDescent="0.25">
      <c r="A2" s="122" t="s">
        <v>37</v>
      </c>
      <c r="B2" s="126" t="s">
        <v>35</v>
      </c>
      <c r="C2" s="126"/>
      <c r="D2" s="123"/>
      <c r="E2" s="123"/>
      <c r="G2" s="56"/>
      <c r="I2" s="56"/>
    </row>
    <row r="3" spans="1:12" ht="25.5" customHeight="1" thickBot="1" x14ac:dyDescent="0.3">
      <c r="A3" s="122" t="s">
        <v>38</v>
      </c>
      <c r="B3" s="127">
        <v>40922</v>
      </c>
      <c r="C3" s="127"/>
      <c r="D3" s="123"/>
      <c r="E3" s="123"/>
    </row>
    <row r="4" spans="1:12" s="3" customFormat="1" ht="21" customHeight="1" x14ac:dyDescent="0.25">
      <c r="A4" s="57" t="s">
        <v>12</v>
      </c>
      <c r="B4" s="103">
        <v>2010</v>
      </c>
      <c r="C4" s="58"/>
      <c r="D4" s="103">
        <v>2009</v>
      </c>
      <c r="E4" s="58"/>
      <c r="F4" s="103">
        <v>2008</v>
      </c>
      <c r="G4" s="58"/>
      <c r="H4" s="103">
        <v>2007</v>
      </c>
      <c r="I4" s="58"/>
      <c r="J4" s="59"/>
      <c r="K4" s="60"/>
      <c r="L4" s="61"/>
    </row>
    <row r="5" spans="1:12" s="3" customFormat="1" ht="21" customHeight="1" x14ac:dyDescent="0.25">
      <c r="A5" s="62" t="s">
        <v>13</v>
      </c>
      <c r="B5" s="104">
        <v>12</v>
      </c>
      <c r="C5" s="63"/>
      <c r="D5" s="104">
        <v>12</v>
      </c>
      <c r="E5" s="63"/>
      <c r="F5" s="104">
        <v>12</v>
      </c>
      <c r="G5" s="63"/>
      <c r="H5" s="104">
        <v>12</v>
      </c>
      <c r="I5" s="63"/>
      <c r="J5" s="64" t="s">
        <v>24</v>
      </c>
      <c r="K5" s="65"/>
      <c r="L5" s="61"/>
    </row>
    <row r="6" spans="1:12" s="3" customFormat="1" ht="21" customHeight="1" thickBot="1" x14ac:dyDescent="0.3">
      <c r="A6" s="62" t="s">
        <v>14</v>
      </c>
      <c r="B6" s="106" t="s">
        <v>15</v>
      </c>
      <c r="C6" s="63"/>
      <c r="D6" s="106" t="s">
        <v>15</v>
      </c>
      <c r="E6" s="63"/>
      <c r="F6" s="106" t="s">
        <v>15</v>
      </c>
      <c r="G6" s="63"/>
      <c r="H6" s="106" t="s">
        <v>15</v>
      </c>
      <c r="I6" s="63"/>
      <c r="J6" s="66"/>
      <c r="K6" s="65"/>
      <c r="L6" s="61"/>
    </row>
    <row r="7" spans="1:12" s="1" customFormat="1" ht="21.75" customHeight="1" x14ac:dyDescent="0.25">
      <c r="A7" s="67" t="s">
        <v>1</v>
      </c>
      <c r="B7" s="68">
        <f>SUM('P&amp;L 4 years'!B13)</f>
        <v>850000</v>
      </c>
      <c r="C7" s="69">
        <f>SUM(B7/B$7)</f>
        <v>1</v>
      </c>
      <c r="D7" s="68">
        <f>SUM('P&amp;L 4 years'!D13)</f>
        <v>624761</v>
      </c>
      <c r="E7" s="69">
        <f>SUM(D7/D$7)</f>
        <v>1</v>
      </c>
      <c r="F7" s="68">
        <f>SUM('P&amp;L 4 years'!F13)</f>
        <v>598292</v>
      </c>
      <c r="G7" s="69">
        <f>SUM(F7/F$7)</f>
        <v>1</v>
      </c>
      <c r="H7" s="68">
        <f>SUM('P&amp;L 4 years'!H13)</f>
        <v>621524</v>
      </c>
      <c r="I7" s="69">
        <f>SUM(H7/H$7)</f>
        <v>1</v>
      </c>
      <c r="J7" s="70">
        <f t="shared" ref="J7:J29" si="0">SUM(B7:I7)</f>
        <v>2694581</v>
      </c>
      <c r="K7" s="71">
        <f>SUM(J7/J$7)</f>
        <v>1</v>
      </c>
      <c r="L7" s="72"/>
    </row>
    <row r="8" spans="1:12" x14ac:dyDescent="0.25">
      <c r="A8" s="41"/>
      <c r="B8" s="73"/>
      <c r="C8" s="74"/>
      <c r="D8" s="73"/>
      <c r="E8" s="74"/>
      <c r="F8" s="73"/>
      <c r="G8" s="74"/>
      <c r="H8" s="73"/>
      <c r="I8" s="74"/>
      <c r="J8" s="70"/>
      <c r="K8" s="71"/>
    </row>
    <row r="9" spans="1:12" s="1" customFormat="1" x14ac:dyDescent="0.25">
      <c r="A9" s="67" t="s">
        <v>2</v>
      </c>
      <c r="B9" s="68"/>
      <c r="C9" s="69"/>
      <c r="D9" s="68"/>
      <c r="E9" s="69"/>
      <c r="F9" s="68"/>
      <c r="G9" s="69"/>
      <c r="H9" s="68"/>
      <c r="I9" s="69"/>
      <c r="J9" s="70"/>
      <c r="K9" s="71"/>
      <c r="L9" s="72"/>
    </row>
    <row r="10" spans="1:12" s="8" customFormat="1" x14ac:dyDescent="0.25">
      <c r="A10" s="38" t="s">
        <v>16</v>
      </c>
      <c r="B10" s="75">
        <f>SUM(B$7*C10)</f>
        <v>187000</v>
      </c>
      <c r="C10" s="76">
        <f>SUM(OPTIMAL!D11)</f>
        <v>0.22</v>
      </c>
      <c r="D10" s="75">
        <f>SUM(D$7*E10)</f>
        <v>137447.42000000001</v>
      </c>
      <c r="E10" s="76">
        <f>SUM(C10)</f>
        <v>0.22</v>
      </c>
      <c r="F10" s="75">
        <f>SUM(F$7*G10)</f>
        <v>131624.24</v>
      </c>
      <c r="G10" s="76">
        <f>SUM(E10)</f>
        <v>0.22</v>
      </c>
      <c r="H10" s="75">
        <f>SUM(H$7*I10)</f>
        <v>136735.28</v>
      </c>
      <c r="I10" s="76">
        <f>SUM(G10)</f>
        <v>0.22</v>
      </c>
      <c r="J10" s="70">
        <f t="shared" si="0"/>
        <v>592807.81999999995</v>
      </c>
      <c r="K10" s="71">
        <f>SUM(J10/J$7)</f>
        <v>0.21999999999999997</v>
      </c>
      <c r="L10" s="77"/>
    </row>
    <row r="11" spans="1:12" x14ac:dyDescent="0.25">
      <c r="A11" s="39" t="s">
        <v>17</v>
      </c>
      <c r="B11" s="75">
        <f>SUM(B$7*C11)</f>
        <v>194650</v>
      </c>
      <c r="C11" s="74">
        <f>SUM(OPTIMAL!D12)</f>
        <v>0.22900000000000001</v>
      </c>
      <c r="D11" s="75">
        <f t="shared" ref="D11:F13" si="1">SUM(D$7*E11)</f>
        <v>143070.269</v>
      </c>
      <c r="E11" s="74">
        <f>SUM(C11)</f>
        <v>0.22900000000000001</v>
      </c>
      <c r="F11" s="75">
        <f t="shared" si="1"/>
        <v>137008.86800000002</v>
      </c>
      <c r="G11" s="74">
        <f>SUM(E11)</f>
        <v>0.22900000000000001</v>
      </c>
      <c r="H11" s="75">
        <f>SUM(H$7*I11)</f>
        <v>142328.99600000001</v>
      </c>
      <c r="I11" s="74">
        <f>SUM(G11)</f>
        <v>0.22900000000000001</v>
      </c>
      <c r="J11" s="70">
        <f t="shared" si="0"/>
        <v>617059.04900000012</v>
      </c>
      <c r="K11" s="71">
        <f>SUM(J11/J$7)</f>
        <v>0.22900000000000004</v>
      </c>
    </row>
    <row r="12" spans="1:12" x14ac:dyDescent="0.25">
      <c r="A12" s="39" t="s">
        <v>18</v>
      </c>
      <c r="B12" s="75">
        <f>SUM(B$7*C12)</f>
        <v>22950</v>
      </c>
      <c r="C12" s="76">
        <f>SUM(OPTIMAL!D13)</f>
        <v>2.7E-2</v>
      </c>
      <c r="D12" s="75">
        <f t="shared" si="1"/>
        <v>16868.546999999999</v>
      </c>
      <c r="E12" s="76">
        <f>SUM(C12)</f>
        <v>2.7E-2</v>
      </c>
      <c r="F12" s="75">
        <f t="shared" si="1"/>
        <v>16153.884</v>
      </c>
      <c r="G12" s="76">
        <f>SUM(E12)</f>
        <v>2.7E-2</v>
      </c>
      <c r="H12" s="75">
        <f>SUM(H$7*I12)</f>
        <v>16781.148000000001</v>
      </c>
      <c r="I12" s="76">
        <f>SUM(G12)</f>
        <v>2.7E-2</v>
      </c>
      <c r="J12" s="70">
        <f t="shared" si="0"/>
        <v>72753.687000000005</v>
      </c>
      <c r="K12" s="71">
        <f>SUM(J12/J$7)</f>
        <v>2.7000000000000003E-2</v>
      </c>
    </row>
    <row r="13" spans="1:12" x14ac:dyDescent="0.25">
      <c r="A13" s="39" t="s">
        <v>19</v>
      </c>
      <c r="B13" s="75">
        <f>SUM(B$7*C13)</f>
        <v>1700</v>
      </c>
      <c r="C13" s="74">
        <f>SUM(OPTIMAL!D14)</f>
        <v>2E-3</v>
      </c>
      <c r="D13" s="75">
        <f t="shared" si="1"/>
        <v>1249.5219999999999</v>
      </c>
      <c r="E13" s="74">
        <f>SUM(C13)</f>
        <v>2E-3</v>
      </c>
      <c r="F13" s="75">
        <f t="shared" si="1"/>
        <v>1196.5840000000001</v>
      </c>
      <c r="G13" s="74">
        <f>SUM(E13)</f>
        <v>2E-3</v>
      </c>
      <c r="H13" s="75">
        <f>SUM(H$7*I13)</f>
        <v>1243.048</v>
      </c>
      <c r="I13" s="74">
        <f>SUM(G13)</f>
        <v>2E-3</v>
      </c>
      <c r="J13" s="70">
        <f t="shared" si="0"/>
        <v>5389.1620000000003</v>
      </c>
      <c r="K13" s="71">
        <f>SUM(J13/J$7)</f>
        <v>2E-3</v>
      </c>
    </row>
    <row r="14" spans="1:12" s="1" customFormat="1" ht="21.75" customHeight="1" x14ac:dyDescent="0.25">
      <c r="A14" s="67" t="s">
        <v>3</v>
      </c>
      <c r="B14" s="68">
        <f>SUM(B10:B13)</f>
        <v>406300</v>
      </c>
      <c r="C14" s="69">
        <f>SUM(B14/B$7)</f>
        <v>0.47799999999999998</v>
      </c>
      <c r="D14" s="68">
        <f>SUM(D10:D13)</f>
        <v>298635.75800000003</v>
      </c>
      <c r="E14" s="69">
        <f>SUM(D14/D$7)</f>
        <v>0.47800000000000004</v>
      </c>
      <c r="F14" s="68">
        <f>SUM(F10:F13)</f>
        <v>285983.576</v>
      </c>
      <c r="G14" s="69">
        <f>SUM(F14/F$7)</f>
        <v>0.47799999999999998</v>
      </c>
      <c r="H14" s="68">
        <f>SUM(H10:H13)</f>
        <v>297088.47200000001</v>
      </c>
      <c r="I14" s="69">
        <f>SUM(H14/H$7)</f>
        <v>0.47800000000000004</v>
      </c>
      <c r="J14" s="70">
        <f t="shared" si="0"/>
        <v>1288009.7179999999</v>
      </c>
      <c r="K14" s="71">
        <f>SUM(J14/J$7)</f>
        <v>0.47799999999999998</v>
      </c>
      <c r="L14" s="72"/>
    </row>
    <row r="15" spans="1:12" x14ac:dyDescent="0.25">
      <c r="A15" s="41"/>
      <c r="B15" s="73"/>
      <c r="C15" s="74"/>
      <c r="D15" s="73"/>
      <c r="E15" s="74"/>
      <c r="F15" s="73"/>
      <c r="G15" s="74"/>
      <c r="H15" s="73"/>
      <c r="I15" s="74"/>
      <c r="J15" s="70"/>
      <c r="K15" s="71"/>
    </row>
    <row r="16" spans="1:12" s="13" customFormat="1" ht="18.75" customHeight="1" x14ac:dyDescent="0.25">
      <c r="A16" s="78" t="s">
        <v>4</v>
      </c>
      <c r="B16" s="79">
        <f>SUM(B7-B14)</f>
        <v>443700</v>
      </c>
      <c r="C16" s="80">
        <f>SUM(B16/B$7)</f>
        <v>0.52200000000000002</v>
      </c>
      <c r="D16" s="79">
        <f>SUM(D7-D14)</f>
        <v>326125.24199999997</v>
      </c>
      <c r="E16" s="80">
        <f>SUM(D16/D$7)</f>
        <v>0.52199999999999991</v>
      </c>
      <c r="F16" s="79">
        <f>SUM(F7-F14)</f>
        <v>312308.424</v>
      </c>
      <c r="G16" s="80">
        <f>SUM(F16/F$7)</f>
        <v>0.52200000000000002</v>
      </c>
      <c r="H16" s="79">
        <f>SUM(H7-H14)</f>
        <v>324435.52799999999</v>
      </c>
      <c r="I16" s="80">
        <f>SUM(H16/H$7)</f>
        <v>0.52200000000000002</v>
      </c>
      <c r="J16" s="70">
        <f t="shared" si="0"/>
        <v>1406571.2820000001</v>
      </c>
      <c r="K16" s="71">
        <f>SUM(J16/J$7)</f>
        <v>0.52200000000000002</v>
      </c>
      <c r="L16" s="81"/>
    </row>
    <row r="17" spans="1:12" x14ac:dyDescent="0.25">
      <c r="A17" s="67" t="s">
        <v>11</v>
      </c>
      <c r="B17" s="73"/>
      <c r="C17" s="74"/>
      <c r="D17" s="73"/>
      <c r="E17" s="74"/>
      <c r="F17" s="73"/>
      <c r="G17" s="74"/>
      <c r="H17" s="73"/>
      <c r="I17" s="74"/>
      <c r="J17" s="70"/>
      <c r="K17" s="71"/>
    </row>
    <row r="18" spans="1:12" x14ac:dyDescent="0.25">
      <c r="A18" s="67" t="s">
        <v>6</v>
      </c>
      <c r="B18" s="73"/>
      <c r="C18" s="74"/>
      <c r="D18" s="73"/>
      <c r="E18" s="74"/>
      <c r="F18" s="73"/>
      <c r="G18" s="74"/>
      <c r="H18" s="73"/>
      <c r="I18" s="74"/>
      <c r="J18" s="70"/>
      <c r="K18" s="71"/>
    </row>
    <row r="19" spans="1:12" x14ac:dyDescent="0.25">
      <c r="A19" s="40" t="s">
        <v>5</v>
      </c>
      <c r="B19" s="75">
        <f>SUM(B$7*C19)</f>
        <v>2550</v>
      </c>
      <c r="C19" s="82">
        <f>SUM(OPTIMAL!D20)</f>
        <v>3.0000000000000001E-3</v>
      </c>
      <c r="D19" s="75">
        <f>SUM(D$7*E19)</f>
        <v>1874.2830000000001</v>
      </c>
      <c r="E19" s="82">
        <f>SUM(C19)</f>
        <v>3.0000000000000001E-3</v>
      </c>
      <c r="F19" s="75">
        <f>SUM(F$7*G19)</f>
        <v>1794.876</v>
      </c>
      <c r="G19" s="82">
        <f>SUM(E19)</f>
        <v>3.0000000000000001E-3</v>
      </c>
      <c r="H19" s="75">
        <f>SUM(H$7*I19)</f>
        <v>1864.5720000000001</v>
      </c>
      <c r="I19" s="82">
        <f>SUM(G19)</f>
        <v>3.0000000000000001E-3</v>
      </c>
      <c r="J19" s="70">
        <f t="shared" si="0"/>
        <v>8083.7429999999995</v>
      </c>
      <c r="K19" s="71">
        <f>SUM(J19/J$7)</f>
        <v>2.9999999999999996E-3</v>
      </c>
    </row>
    <row r="20" spans="1:12" x14ac:dyDescent="0.25">
      <c r="A20" s="39" t="s">
        <v>20</v>
      </c>
      <c r="B20" s="75">
        <f>SUM(B$7*C20)</f>
        <v>7649.9999999999991</v>
      </c>
      <c r="C20" s="76">
        <f>SUM(OPTIMAL!D21)</f>
        <v>8.9999999999999993E-3</v>
      </c>
      <c r="D20" s="75">
        <f>SUM(D$7*E20)</f>
        <v>5622.8489999999993</v>
      </c>
      <c r="E20" s="76">
        <f>SUM(C20)</f>
        <v>8.9999999999999993E-3</v>
      </c>
      <c r="F20" s="75">
        <f>SUM(F$7*G20)</f>
        <v>5384.6279999999997</v>
      </c>
      <c r="G20" s="76">
        <f>SUM(E20)</f>
        <v>8.9999999999999993E-3</v>
      </c>
      <c r="H20" s="75">
        <f>SUM(H$7*I20)</f>
        <v>5593.7159999999994</v>
      </c>
      <c r="I20" s="76">
        <f>SUM(G20)</f>
        <v>8.9999999999999993E-3</v>
      </c>
      <c r="J20" s="70">
        <f t="shared" si="0"/>
        <v>24251.228999999996</v>
      </c>
      <c r="K20" s="71">
        <f>SUM(J20/J$7)</f>
        <v>8.9999999999999976E-3</v>
      </c>
    </row>
    <row r="21" spans="1:12" s="1" customFormat="1" ht="19.5" customHeight="1" x14ac:dyDescent="0.25">
      <c r="A21" s="67" t="s">
        <v>7</v>
      </c>
      <c r="B21" s="68">
        <f>SUM(B19:B20)</f>
        <v>10200</v>
      </c>
      <c r="C21" s="69">
        <f>SUM(B21/B$7)</f>
        <v>1.2E-2</v>
      </c>
      <c r="D21" s="68">
        <f>SUM(D19:D20)</f>
        <v>7497.1319999999996</v>
      </c>
      <c r="E21" s="69">
        <f>SUM(D21/D$7)</f>
        <v>1.1999999999999999E-2</v>
      </c>
      <c r="F21" s="68">
        <f>SUM(F19:F20)</f>
        <v>7179.5039999999999</v>
      </c>
      <c r="G21" s="69">
        <f>SUM(F21/F$7)</f>
        <v>1.2E-2</v>
      </c>
      <c r="H21" s="68">
        <f>SUM(H19:H20)</f>
        <v>7458.2879999999996</v>
      </c>
      <c r="I21" s="69">
        <f>SUM(H21/H$7)</f>
        <v>1.1999999999999999E-2</v>
      </c>
      <c r="J21" s="70">
        <f t="shared" si="0"/>
        <v>32334.971999999998</v>
      </c>
      <c r="K21" s="71">
        <f>SUM(J21/J$7)</f>
        <v>1.1999999999999999E-2</v>
      </c>
      <c r="L21" s="72"/>
    </row>
    <row r="22" spans="1:12" x14ac:dyDescent="0.25">
      <c r="A22" s="41"/>
      <c r="B22" s="73"/>
      <c r="C22" s="74"/>
      <c r="D22" s="73"/>
      <c r="E22" s="74"/>
      <c r="F22" s="73"/>
      <c r="G22" s="74"/>
      <c r="H22" s="73"/>
      <c r="I22" s="74"/>
      <c r="J22" s="70"/>
      <c r="K22" s="71"/>
    </row>
    <row r="23" spans="1:12" x14ac:dyDescent="0.25">
      <c r="A23" s="41" t="s">
        <v>8</v>
      </c>
      <c r="B23" s="73">
        <f>SUM(B$7*C23)</f>
        <v>88400</v>
      </c>
      <c r="C23" s="74">
        <f>SUM(OPTIMAL!D24)</f>
        <v>0.104</v>
      </c>
      <c r="D23" s="73">
        <f>SUM(D$7*E23)</f>
        <v>64975.144</v>
      </c>
      <c r="E23" s="74">
        <f>SUM(C23)</f>
        <v>0.104</v>
      </c>
      <c r="F23" s="73">
        <f>SUM(F$7*G23)</f>
        <v>62222.367999999995</v>
      </c>
      <c r="G23" s="74">
        <f>SUM(E23)</f>
        <v>0.104</v>
      </c>
      <c r="H23" s="73">
        <f>SUM(H$7*I23)</f>
        <v>64638.495999999999</v>
      </c>
      <c r="I23" s="74">
        <f>SUM(G23)</f>
        <v>0.104</v>
      </c>
      <c r="J23" s="70">
        <f t="shared" si="0"/>
        <v>280236.424</v>
      </c>
      <c r="K23" s="71">
        <f>SUM(J23/J$7)</f>
        <v>0.104</v>
      </c>
    </row>
    <row r="24" spans="1:12" x14ac:dyDescent="0.25">
      <c r="A24" s="39" t="s">
        <v>21</v>
      </c>
      <c r="B24" s="73">
        <f>SUM(B$7*C24)</f>
        <v>18700</v>
      </c>
      <c r="C24" s="74">
        <f>SUM(OPTIMAL!D25)</f>
        <v>2.1999999999999999E-2</v>
      </c>
      <c r="D24" s="73">
        <f t="shared" ref="D24:F25" si="2">SUM(D$7*E24)</f>
        <v>13744.741999999998</v>
      </c>
      <c r="E24" s="74">
        <f>SUM(C24)</f>
        <v>2.1999999999999999E-2</v>
      </c>
      <c r="F24" s="73">
        <f t="shared" si="2"/>
        <v>13162.423999999999</v>
      </c>
      <c r="G24" s="74">
        <f>SUM(E24)</f>
        <v>2.1999999999999999E-2</v>
      </c>
      <c r="H24" s="73">
        <f>SUM(H$7*I24)</f>
        <v>13673.527999999998</v>
      </c>
      <c r="I24" s="74">
        <f>SUM(G24)</f>
        <v>2.1999999999999999E-2</v>
      </c>
      <c r="J24" s="70">
        <f t="shared" si="0"/>
        <v>59280.781999999992</v>
      </c>
      <c r="K24" s="71">
        <f>SUM(J24/J$7)</f>
        <v>2.1999999999999999E-2</v>
      </c>
    </row>
    <row r="25" spans="1:12" x14ac:dyDescent="0.25">
      <c r="A25" s="39" t="s">
        <v>22</v>
      </c>
      <c r="B25" s="73">
        <f>SUM(B$7*C25)</f>
        <v>170850</v>
      </c>
      <c r="C25" s="74">
        <f>SUM(OPTIMAL!D26)</f>
        <v>0.20100000000000001</v>
      </c>
      <c r="D25" s="73">
        <f t="shared" si="2"/>
        <v>125576.96100000001</v>
      </c>
      <c r="E25" s="74">
        <f>SUM(C25)</f>
        <v>0.20100000000000001</v>
      </c>
      <c r="F25" s="73">
        <f t="shared" si="2"/>
        <v>120256.69200000001</v>
      </c>
      <c r="G25" s="74">
        <f>SUM(E25)</f>
        <v>0.20100000000000001</v>
      </c>
      <c r="H25" s="73">
        <f>SUM(H$7*I25)</f>
        <v>124926.32400000001</v>
      </c>
      <c r="I25" s="74">
        <f>SUM(G25)</f>
        <v>0.20100000000000001</v>
      </c>
      <c r="J25" s="70">
        <f t="shared" si="0"/>
        <v>541610.78100000008</v>
      </c>
      <c r="K25" s="71">
        <f>SUM(J25/J$7)</f>
        <v>0.20100000000000004</v>
      </c>
    </row>
    <row r="26" spans="1:12" x14ac:dyDescent="0.25">
      <c r="A26" s="41"/>
      <c r="B26" s="73"/>
      <c r="C26" s="74"/>
      <c r="D26" s="73"/>
      <c r="E26" s="74"/>
      <c r="F26" s="73"/>
      <c r="G26" s="74"/>
      <c r="H26" s="73"/>
      <c r="I26" s="74"/>
      <c r="J26" s="70"/>
      <c r="K26" s="71"/>
    </row>
    <row r="27" spans="1:12" s="1" customFormat="1" x14ac:dyDescent="0.25">
      <c r="A27" s="67" t="s">
        <v>9</v>
      </c>
      <c r="B27" s="68">
        <f>SUM(B21:B25)</f>
        <v>288150</v>
      </c>
      <c r="C27" s="69">
        <f>SUM(B27/B$7)</f>
        <v>0.33900000000000002</v>
      </c>
      <c r="D27" s="68">
        <f>SUM(D21:D25)</f>
        <v>211793.97899999999</v>
      </c>
      <c r="E27" s="69">
        <f>SUM(D27/D$7)</f>
        <v>0.33899999999999997</v>
      </c>
      <c r="F27" s="68">
        <f>SUM(F21:F25)</f>
        <v>202820.98800000001</v>
      </c>
      <c r="G27" s="69">
        <f>SUM(F27/F$7)</f>
        <v>0.33900000000000002</v>
      </c>
      <c r="H27" s="68">
        <f>SUM(H21:H25)</f>
        <v>210696.636</v>
      </c>
      <c r="I27" s="69">
        <f>SUM(H27/H$7)</f>
        <v>0.33900000000000002</v>
      </c>
      <c r="J27" s="70">
        <f t="shared" si="0"/>
        <v>913462.95900000015</v>
      </c>
      <c r="K27" s="71">
        <f>SUM(J27/J$7)</f>
        <v>0.33900000000000008</v>
      </c>
      <c r="L27" s="72"/>
    </row>
    <row r="28" spans="1:12" x14ac:dyDescent="0.25">
      <c r="A28" s="41"/>
      <c r="B28" s="73"/>
      <c r="C28" s="74"/>
      <c r="D28" s="73"/>
      <c r="E28" s="69"/>
      <c r="F28" s="73"/>
      <c r="G28" s="74"/>
      <c r="H28" s="73"/>
      <c r="I28" s="74"/>
      <c r="J28" s="70"/>
      <c r="K28" s="71"/>
    </row>
    <row r="29" spans="1:12" s="1" customFormat="1" ht="15.75" thickBot="1" x14ac:dyDescent="0.3">
      <c r="A29" s="83" t="s">
        <v>10</v>
      </c>
      <c r="B29" s="84">
        <f>SUM(B16-B27)</f>
        <v>155550</v>
      </c>
      <c r="C29" s="85">
        <f>SUM(B29/B$7)</f>
        <v>0.183</v>
      </c>
      <c r="D29" s="84">
        <f>SUM(D16-D27)</f>
        <v>114331.26299999998</v>
      </c>
      <c r="E29" s="85">
        <f>SUM(D29/D$7)</f>
        <v>0.18299999999999997</v>
      </c>
      <c r="F29" s="84">
        <f>SUM(F16-F27)</f>
        <v>109487.43599999999</v>
      </c>
      <c r="G29" s="85">
        <f>SUM(F29/F$7)</f>
        <v>0.18299999999999997</v>
      </c>
      <c r="H29" s="84">
        <f>SUM(H16-H27)</f>
        <v>113738.89199999999</v>
      </c>
      <c r="I29" s="85">
        <f>SUM(H29/H$7)</f>
        <v>0.183</v>
      </c>
      <c r="J29" s="86">
        <f t="shared" si="0"/>
        <v>493108.32300000003</v>
      </c>
      <c r="K29" s="87">
        <f>SUM(J29/J$7)</f>
        <v>0.18300000000000002</v>
      </c>
      <c r="L29" s="72"/>
    </row>
    <row r="30" spans="1:12" ht="15.75" thickBot="1" x14ac:dyDescent="0.3"/>
    <row r="31" spans="1:12" s="1" customFormat="1" ht="18" customHeight="1" thickBot="1" x14ac:dyDescent="0.3">
      <c r="A31" s="88" t="s">
        <v>23</v>
      </c>
      <c r="B31" s="89">
        <f>SUM(B23+B29)</f>
        <v>243950</v>
      </c>
      <c r="C31" s="90">
        <f>SUM(B31/B$7)</f>
        <v>0.28699999999999998</v>
      </c>
      <c r="D31" s="89">
        <f>SUM(D23+D29)</f>
        <v>179306.40699999998</v>
      </c>
      <c r="E31" s="90">
        <f>SUM(D31/D$7)</f>
        <v>0.28699999999999998</v>
      </c>
      <c r="F31" s="89">
        <f>SUM(F23+F29)</f>
        <v>171709.80399999997</v>
      </c>
      <c r="G31" s="90">
        <f>SUM(F31/F$7)</f>
        <v>0.28699999999999998</v>
      </c>
      <c r="H31" s="89">
        <f>SUM(H23+H29)</f>
        <v>178377.38799999998</v>
      </c>
      <c r="I31" s="90">
        <f>SUM(H31/H$7)</f>
        <v>0.28699999999999998</v>
      </c>
      <c r="J31" s="89">
        <f>SUM(J23+J29)</f>
        <v>773344.74699999997</v>
      </c>
      <c r="K31" s="90">
        <f>SUM(J31/J$7)</f>
        <v>0.28699999999999998</v>
      </c>
      <c r="L31" s="91"/>
    </row>
    <row r="32" spans="1:12" ht="9.75" customHeight="1" thickBot="1" x14ac:dyDescent="0.3"/>
    <row r="33" spans="1:11" ht="15.75" thickBot="1" x14ac:dyDescent="0.3">
      <c r="A33" s="92" t="s">
        <v>26</v>
      </c>
      <c r="B33" s="93">
        <f>SUM('P&amp;L 4 years'!B33)</f>
        <v>11907</v>
      </c>
      <c r="C33" s="94">
        <f>SUM(B33/B$7)</f>
        <v>1.4008235294117648E-2</v>
      </c>
      <c r="D33" s="93">
        <f>SUM('P&amp;L 4 years'!D33)</f>
        <v>40337</v>
      </c>
      <c r="E33" s="94">
        <f>SUM(D33/D$7)</f>
        <v>6.4563889231242025E-2</v>
      </c>
      <c r="F33" s="93">
        <f>SUM('P&amp;L 4 years'!F33)</f>
        <v>28780</v>
      </c>
      <c r="G33" s="94">
        <f>SUM(F33/F$7)</f>
        <v>4.8103601585847713E-2</v>
      </c>
      <c r="H33" s="93">
        <f>SUM('P&amp;L 4 years'!H33)</f>
        <v>52001</v>
      </c>
      <c r="I33" s="94">
        <f>SUM(H33/H$7)</f>
        <v>8.3666921953134549E-2</v>
      </c>
      <c r="J33" s="93">
        <f>SUM('P&amp;L 4 years'!J33)</f>
        <v>133025.21034264806</v>
      </c>
      <c r="K33" s="94">
        <f>SUM(J33/J$7)</f>
        <v>4.9367679183757347E-2</v>
      </c>
    </row>
    <row r="34" spans="1:11" ht="9" customHeight="1" thickBot="1" x14ac:dyDescent="0.3">
      <c r="A34" s="95"/>
      <c r="B34" s="96"/>
      <c r="C34" s="97"/>
    </row>
    <row r="35" spans="1:11" ht="35.1" customHeight="1" thickBot="1" x14ac:dyDescent="0.3">
      <c r="A35" s="98" t="s">
        <v>27</v>
      </c>
      <c r="B35" s="99">
        <f>SUM(B33-B31)</f>
        <v>-232043</v>
      </c>
      <c r="C35" s="100">
        <f>SUM(B35/B$7)</f>
        <v>-0.27299176470588238</v>
      </c>
      <c r="D35" s="99">
        <f>SUM(D33-D31)</f>
        <v>-138969.40699999998</v>
      </c>
      <c r="E35" s="100">
        <f>SUM(D35/D$7)</f>
        <v>-0.22243611076875794</v>
      </c>
      <c r="F35" s="99">
        <f>SUM(F33-F31)</f>
        <v>-142929.80399999997</v>
      </c>
      <c r="G35" s="100">
        <f>SUM(F35/F$7)</f>
        <v>-0.23889639841415225</v>
      </c>
      <c r="H35" s="99">
        <f>SUM(H33-H31)</f>
        <v>-126376.38799999998</v>
      </c>
      <c r="I35" s="100">
        <f>SUM(H35/H$7)</f>
        <v>-0.2033330780468654</v>
      </c>
      <c r="J35" s="99">
        <f>SUM(J33-J31)</f>
        <v>-640319.53665735188</v>
      </c>
      <c r="K35" s="100">
        <f>SUM(J35/J$7)</f>
        <v>-0.23763232081624264</v>
      </c>
    </row>
    <row r="39" spans="1:11" x14ac:dyDescent="0.25">
      <c r="J39" s="101"/>
    </row>
  </sheetData>
  <sheetProtection password="CA25" sheet="1" objects="1" scenarios="1"/>
  <protectedRanges>
    <protectedRange sqref="C4 B4:B6 D4:D6 F4:F6 H4:H6 H4:H5 A1:A2 A1:I2" name="Range1"/>
  </protectedRanges>
  <mergeCells count="3">
    <mergeCell ref="B1:E1"/>
    <mergeCell ref="B2:C2"/>
    <mergeCell ref="B3:C3"/>
  </mergeCells>
  <phoneticPr fontId="5" type="noConversion"/>
  <pageMargins left="0.5" right="0.25" top="0.5" bottom="0" header="0" footer="0.5"/>
  <pageSetup orientation="landscape" r:id="rId1"/>
  <headerFooter alignWithMargins="0">
    <oddHeader xml:space="preserve">&amp;C&amp;"Lucida Grande,Bold"&amp;14 PEAK PERFORMANCE - LOST POTENTIAL 4 YEARS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P&amp;L 4 years</vt:lpstr>
      <vt:lpstr>OPTIMAL</vt:lpstr>
      <vt:lpstr>4 YEAR LOSS</vt:lpstr>
      <vt:lpstr>'4 YEAR LOSS'!Print_Area</vt:lpstr>
      <vt:lpstr>OPTIMAL!Print_Area</vt:lpstr>
      <vt:lpstr>'P&amp;L 4 years'!Print_Area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Cornerstone</dc:creator>
  <cp:lastModifiedBy>Rob Belfield</cp:lastModifiedBy>
  <cp:lastPrinted>2020-07-21T20:35:07Z</cp:lastPrinted>
  <dcterms:created xsi:type="dcterms:W3CDTF">2010-12-07T17:36:22Z</dcterms:created>
  <dcterms:modified xsi:type="dcterms:W3CDTF">2022-07-19T16:56:44Z</dcterms:modified>
</cp:coreProperties>
</file>