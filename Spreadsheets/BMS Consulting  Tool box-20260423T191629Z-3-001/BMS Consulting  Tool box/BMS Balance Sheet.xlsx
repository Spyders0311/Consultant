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ate1904="1"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b0252ba3483248/Desktop/BMS Files/BMS Consulting  Tool box/"/>
    </mc:Choice>
  </mc:AlternateContent>
  <xr:revisionPtr revIDLastSave="0" documentId="14_{9FC7CD8A-71D6-4F14-84A4-0B807107914F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Print_Area" localSheetId="0">Sheet1!$A$1:$E$48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8" i="1" l="1"/>
  <c r="D8" i="1" s="1"/>
  <c r="E8" i="1" s="1"/>
  <c r="H8" i="1"/>
  <c r="I8" i="1" s="1"/>
  <c r="J8" i="1" s="1"/>
  <c r="B15" i="1"/>
  <c r="C15" i="1"/>
  <c r="C42" i="1" s="1"/>
  <c r="D15" i="1"/>
  <c r="D46" i="1" s="1"/>
  <c r="E15" i="1"/>
  <c r="E46" i="1" s="1"/>
  <c r="B20" i="1"/>
  <c r="C20" i="1"/>
  <c r="D20" i="1"/>
  <c r="E20" i="1"/>
  <c r="B23" i="1"/>
  <c r="C23" i="1"/>
  <c r="C39" i="1" s="1"/>
  <c r="C48" i="1" s="1"/>
  <c r="D23" i="1"/>
  <c r="B30" i="1"/>
  <c r="B41" i="1" s="1"/>
  <c r="C30" i="1"/>
  <c r="D30" i="1"/>
  <c r="D42" i="1" s="1"/>
  <c r="E30" i="1"/>
  <c r="C35" i="1"/>
  <c r="C37" i="1" s="1"/>
  <c r="C41" i="1" s="1"/>
  <c r="D35" i="1"/>
  <c r="D37" i="1" s="1"/>
  <c r="D41" i="1" s="1"/>
  <c r="E35" i="1"/>
  <c r="E39" i="1" s="1"/>
  <c r="E48" i="1" s="1"/>
  <c r="E37" i="1"/>
  <c r="E41" i="1" s="1"/>
  <c r="E43" i="1"/>
  <c r="B44" i="1"/>
  <c r="C44" i="1"/>
  <c r="D44" i="1"/>
  <c r="E44" i="1"/>
  <c r="B45" i="1"/>
  <c r="C45" i="1"/>
  <c r="D45" i="1"/>
  <c r="E45" i="1"/>
  <c r="B46" i="1"/>
  <c r="B47" i="1"/>
  <c r="C47" i="1"/>
  <c r="D47" i="1"/>
  <c r="E47" i="1"/>
  <c r="B35" i="1" l="1"/>
  <c r="B39" i="1" s="1"/>
  <c r="B48" i="1" s="1"/>
  <c r="B43" i="1"/>
  <c r="B42" i="1"/>
  <c r="E42" i="1"/>
  <c r="D43" i="1"/>
  <c r="C46" i="1"/>
  <c r="C43" i="1"/>
  <c r="D39" i="1"/>
  <c r="D48" i="1" s="1"/>
</calcChain>
</file>

<file path=xl/sharedStrings.xml><?xml version="1.0" encoding="utf-8"?>
<sst xmlns="http://schemas.openxmlformats.org/spreadsheetml/2006/main" count="41" uniqueCount="39">
  <si>
    <t>FIXED ASSETS</t>
    <phoneticPr fontId="3" type="noConversion"/>
  </si>
  <si>
    <t>CURRENT LIABILITIES</t>
    <phoneticPr fontId="3" type="noConversion"/>
  </si>
  <si>
    <t>DEFERRED LIABILITIES</t>
    <phoneticPr fontId="3" type="noConversion"/>
  </si>
  <si>
    <t>TOTAL LIABILITIES &amp; EQUITY</t>
    <phoneticPr fontId="3" type="noConversion"/>
  </si>
  <si>
    <t>SALES</t>
    <phoneticPr fontId="3" type="noConversion"/>
  </si>
  <si>
    <t>TOTAL LIABILITIES</t>
    <phoneticPr fontId="3" type="noConversion"/>
  </si>
  <si>
    <t>MATERIALS COST</t>
    <phoneticPr fontId="3" type="noConversion"/>
  </si>
  <si>
    <t>CURRENT RATIO (CA/CL)</t>
    <phoneticPr fontId="3" type="noConversion"/>
  </si>
  <si>
    <t>QUICK RATIO (ACID TEST)</t>
    <phoneticPr fontId="3" type="noConversion"/>
  </si>
  <si>
    <t>INVENTORY TO WC RATIO</t>
    <phoneticPr fontId="3" type="noConversion"/>
  </si>
  <si>
    <t>DEBT RATIO</t>
    <phoneticPr fontId="3" type="noConversion"/>
  </si>
  <si>
    <t>Cash On Hand</t>
    <phoneticPr fontId="3" type="noConversion"/>
  </si>
  <si>
    <t>Accounts Receivable</t>
    <phoneticPr fontId="3" type="noConversion"/>
  </si>
  <si>
    <t>Inventory</t>
    <phoneticPr fontId="3" type="noConversion"/>
  </si>
  <si>
    <t>Prepaid Expenses</t>
    <phoneticPr fontId="3" type="noConversion"/>
  </si>
  <si>
    <t>Other</t>
    <phoneticPr fontId="3" type="noConversion"/>
  </si>
  <si>
    <t>Property, Plant, &amp; Equipment</t>
    <phoneticPr fontId="3" type="noConversion"/>
  </si>
  <si>
    <t>Accumulated Depreciation</t>
    <phoneticPr fontId="3" type="noConversion"/>
  </si>
  <si>
    <t>TOTAL CURRENT ASSETS</t>
    <phoneticPr fontId="3" type="noConversion"/>
  </si>
  <si>
    <t>TOTAL FIXED ASSETS</t>
    <phoneticPr fontId="3" type="noConversion"/>
  </si>
  <si>
    <t>OTHER ASSETS</t>
    <phoneticPr fontId="3" type="noConversion"/>
  </si>
  <si>
    <t>TOTAL ASSETS</t>
    <phoneticPr fontId="3" type="noConversion"/>
  </si>
  <si>
    <t>CURRENT ASSETS</t>
    <phoneticPr fontId="3" type="noConversion"/>
  </si>
  <si>
    <t>Accounts Payable</t>
    <phoneticPr fontId="3" type="noConversion"/>
  </si>
  <si>
    <t>Notes Payable Short Term</t>
    <phoneticPr fontId="3" type="noConversion"/>
  </si>
  <si>
    <t>Income Tax Payable</t>
    <phoneticPr fontId="3" type="noConversion"/>
  </si>
  <si>
    <t>Accrued Expenses</t>
    <phoneticPr fontId="3" type="noConversion"/>
  </si>
  <si>
    <t>Other</t>
    <phoneticPr fontId="3" type="noConversion"/>
  </si>
  <si>
    <t>Long Term Debt</t>
    <phoneticPr fontId="3" type="noConversion"/>
  </si>
  <si>
    <t>TOTAL EQUITY</t>
    <phoneticPr fontId="3" type="noConversion"/>
  </si>
  <si>
    <t>TOTAL CURRENT LIABILITIES</t>
    <phoneticPr fontId="3" type="noConversion"/>
  </si>
  <si>
    <t>WORKING CAPITAL</t>
    <phoneticPr fontId="3" type="noConversion"/>
  </si>
  <si>
    <t>INVENTORY TURNS</t>
    <phoneticPr fontId="3" type="noConversion"/>
  </si>
  <si>
    <t>YEAR</t>
  </si>
  <si>
    <t>CLIENT</t>
  </si>
  <si>
    <t>JOB #</t>
  </si>
  <si>
    <t>DATE</t>
  </si>
  <si>
    <t>A/R AGING DAYS</t>
  </si>
  <si>
    <t>CASH:CURRENT ASSETS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</si>
</sst>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7" x14ac:knownFonts="1">
    <font>
      <sz val="10"/>
      <name val="Verdana"/>
    </font>
    <font>
      <b/>
      <sz val="10"/>
      <name val="Verdana"/>
    </font>
    <font>
      <sz val="10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1" fontId="1" fillId="0" borderId="0" xfId="0" applyNumberFormat="1" applyFont="1"/>
    <xf numFmtId="41" fontId="0" fillId="0" borderId="0" xfId="0" applyNumberFormat="1"/>
    <xf numFmtId="41" fontId="1" fillId="0" borderId="0" xfId="0" applyNumberFormat="1" applyFont="1" applyAlignment="1">
      <alignment horizontal="right"/>
    </xf>
    <xf numFmtId="0" fontId="5" fillId="5" borderId="0" xfId="0" applyFont="1" applyFill="1" applyAlignment="1" applyProtection="1">
      <alignment horizontal="center"/>
      <protection locked="0"/>
    </xf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right"/>
    </xf>
    <xf numFmtId="41" fontId="1" fillId="4" borderId="0" xfId="0" applyNumberFormat="1" applyFont="1" applyFill="1" applyProtection="1">
      <protection locked="0"/>
    </xf>
    <xf numFmtId="41" fontId="0" fillId="2" borderId="2" xfId="0" applyNumberFormat="1" applyFill="1" applyBorder="1" applyProtection="1">
      <protection locked="0"/>
    </xf>
    <xf numFmtId="41" fontId="0" fillId="2" borderId="3" xfId="0" applyNumberFormat="1" applyFill="1" applyBorder="1" applyProtection="1">
      <protection locked="0"/>
    </xf>
    <xf numFmtId="41" fontId="0" fillId="2" borderId="4" xfId="0" applyNumberFormat="1" applyFill="1" applyBorder="1" applyProtection="1">
      <protection locked="0"/>
    </xf>
    <xf numFmtId="41" fontId="0" fillId="2" borderId="5" xfId="0" applyNumberFormat="1" applyFill="1" applyBorder="1" applyProtection="1">
      <protection locked="0"/>
    </xf>
    <xf numFmtId="41" fontId="0" fillId="2" borderId="0" xfId="0" applyNumberFormat="1" applyFill="1" applyProtection="1">
      <protection locked="0"/>
    </xf>
    <xf numFmtId="41" fontId="0" fillId="2" borderId="6" xfId="0" applyNumberFormat="1" applyFill="1" applyBorder="1" applyProtection="1">
      <protection locked="0"/>
    </xf>
    <xf numFmtId="41" fontId="0" fillId="3" borderId="7" xfId="0" applyNumberFormat="1" applyFill="1" applyBorder="1"/>
    <xf numFmtId="41" fontId="0" fillId="3" borderId="8" xfId="0" applyNumberFormat="1" applyFill="1" applyBorder="1"/>
    <xf numFmtId="41" fontId="0" fillId="3" borderId="9" xfId="0" applyNumberFormat="1" applyFill="1" applyBorder="1"/>
    <xf numFmtId="41" fontId="4" fillId="4" borderId="0" xfId="0" applyNumberFormat="1" applyFont="1" applyFill="1"/>
    <xf numFmtId="0" fontId="5" fillId="3" borderId="10" xfId="0" applyFont="1" applyFill="1" applyBorder="1" applyAlignment="1" applyProtection="1">
      <alignment horizontal="center"/>
      <protection locked="0"/>
    </xf>
    <xf numFmtId="41" fontId="2" fillId="2" borderId="2" xfId="0" applyNumberFormat="1" applyFont="1" applyFill="1" applyBorder="1" applyProtection="1">
      <protection locked="0"/>
    </xf>
    <xf numFmtId="41" fontId="2" fillId="2" borderId="3" xfId="0" applyNumberFormat="1" applyFont="1" applyFill="1" applyBorder="1" applyProtection="1">
      <protection locked="0"/>
    </xf>
    <xf numFmtId="41" fontId="2" fillId="2" borderId="4" xfId="0" applyNumberFormat="1" applyFont="1" applyFill="1" applyBorder="1" applyProtection="1">
      <protection locked="0"/>
    </xf>
    <xf numFmtId="41" fontId="2" fillId="2" borderId="7" xfId="0" applyNumberFormat="1" applyFont="1" applyFill="1" applyBorder="1" applyProtection="1">
      <protection locked="0"/>
    </xf>
    <xf numFmtId="41" fontId="2" fillId="2" borderId="8" xfId="0" applyNumberFormat="1" applyFont="1" applyFill="1" applyBorder="1" applyProtection="1">
      <protection locked="0"/>
    </xf>
    <xf numFmtId="41" fontId="2" fillId="2" borderId="9" xfId="0" applyNumberFormat="1" applyFont="1" applyFill="1" applyBorder="1" applyProtection="1">
      <protection locked="0"/>
    </xf>
    <xf numFmtId="41" fontId="0" fillId="2" borderId="7" xfId="0" applyNumberFormat="1" applyFill="1" applyBorder="1" applyProtection="1">
      <protection locked="0"/>
    </xf>
    <xf numFmtId="41" fontId="0" fillId="2" borderId="8" xfId="0" applyNumberFormat="1" applyFill="1" applyBorder="1" applyProtection="1">
      <protection locked="0"/>
    </xf>
    <xf numFmtId="41" fontId="0" fillId="2" borderId="9" xfId="0" applyNumberFormat="1" applyFill="1" applyBorder="1" applyProtection="1">
      <protection locked="0"/>
    </xf>
    <xf numFmtId="41" fontId="2" fillId="3" borderId="11" xfId="0" applyNumberFormat="1" applyFont="1" applyFill="1" applyBorder="1"/>
    <xf numFmtId="41" fontId="2" fillId="3" borderId="12" xfId="0" applyNumberFormat="1" applyFont="1" applyFill="1" applyBorder="1"/>
    <xf numFmtId="41" fontId="2" fillId="3" borderId="1" xfId="0" applyNumberFormat="1" applyFont="1" applyFill="1" applyBorder="1"/>
    <xf numFmtId="0" fontId="4" fillId="0" borderId="0" xfId="0" applyFont="1"/>
    <xf numFmtId="0" fontId="6" fillId="3" borderId="13" xfId="0" applyFont="1" applyFill="1" applyBorder="1" applyAlignment="1" applyProtection="1">
      <alignment horizontal="center"/>
      <protection locked="0"/>
    </xf>
    <xf numFmtId="41" fontId="2" fillId="2" borderId="5" xfId="0" applyNumberFormat="1" applyFont="1" applyFill="1" applyBorder="1" applyProtection="1">
      <protection locked="0"/>
    </xf>
    <xf numFmtId="41" fontId="2" fillId="2" borderId="0" xfId="0" applyNumberFormat="1" applyFont="1" applyFill="1" applyProtection="1">
      <protection locked="0"/>
    </xf>
    <xf numFmtId="41" fontId="2" fillId="2" borderId="6" xfId="0" applyNumberFormat="1" applyFont="1" applyFill="1" applyBorder="1" applyProtection="1">
      <protection locked="0"/>
    </xf>
    <xf numFmtId="41" fontId="2" fillId="3" borderId="5" xfId="0" applyNumberFormat="1" applyFont="1" applyFill="1" applyBorder="1"/>
    <xf numFmtId="41" fontId="2" fillId="3" borderId="0" xfId="0" applyNumberFormat="1" applyFont="1" applyFill="1"/>
    <xf numFmtId="41" fontId="2" fillId="3" borderId="6" xfId="0" applyNumberFormat="1" applyFont="1" applyFill="1" applyBorder="1"/>
    <xf numFmtId="41" fontId="2" fillId="3" borderId="7" xfId="0" applyNumberFormat="1" applyFont="1" applyFill="1" applyBorder="1"/>
    <xf numFmtId="41" fontId="2" fillId="3" borderId="8" xfId="0" applyNumberFormat="1" applyFont="1" applyFill="1" applyBorder="1"/>
    <xf numFmtId="41" fontId="2" fillId="3" borderId="9" xfId="0" applyNumberFormat="1" applyFont="1" applyFill="1" applyBorder="1"/>
    <xf numFmtId="41" fontId="2" fillId="3" borderId="7" xfId="0" applyNumberFormat="1" applyFont="1" applyFill="1" applyBorder="1" applyProtection="1">
      <protection locked="0"/>
    </xf>
    <xf numFmtId="41" fontId="2" fillId="3" borderId="8" xfId="0" applyNumberFormat="1" applyFont="1" applyFill="1" applyBorder="1" applyProtection="1">
      <protection locked="0"/>
    </xf>
    <xf numFmtId="41" fontId="2" fillId="3" borderId="9" xfId="0" applyNumberFormat="1" applyFont="1" applyFill="1" applyBorder="1" applyProtection="1">
      <protection locked="0"/>
    </xf>
    <xf numFmtId="0" fontId="4" fillId="0" borderId="0" xfId="0" applyFont="1" applyAlignment="1">
      <alignment horizontal="right"/>
    </xf>
    <xf numFmtId="0" fontId="1" fillId="0" borderId="14" xfId="0" applyFont="1" applyBorder="1"/>
    <xf numFmtId="2" fontId="1" fillId="0" borderId="14" xfId="0" applyNumberFormat="1" applyFont="1" applyBorder="1" applyAlignment="1">
      <alignment horizontal="center"/>
    </xf>
    <xf numFmtId="2" fontId="1" fillId="4" borderId="14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2" fillId="3" borderId="11" xfId="0" applyFont="1" applyFill="1" applyBorder="1" applyAlignment="1">
      <alignment horizontal="left"/>
    </xf>
    <xf numFmtId="0" fontId="2" fillId="3" borderId="12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428658</xdr:colOff>
      <xdr:row>0</xdr:row>
      <xdr:rowOff>1</xdr:rowOff>
    </xdr:from>
    <xdr:to>
      <xdr:col>0</xdr:col>
      <xdr:colOff>1690144</xdr:colOff>
      <xdr:row>4</xdr:row>
      <xdr:rowOff>47626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1E24D2-E2B5-E7B9-4E3F-71F78F8D2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28658" y="1"/>
          <a:ext cx="1261486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K48"/>
  <sheetViews>
    <sheetView tabSelected="1" view="pageLayout" zoomScaleNormal="100" workbookViewId="0">
      <selection activeCell="B2" sqref="B2"/>
    </sheetView>
  </sheetViews>
  <sheetFormatPr defaultColWidth="11" defaultRowHeight="12.75" x14ac:dyDescent="0.2"/>
  <cols>
    <col min="1" max="1" width="27.875" customWidth="1"/>
    <col min="2" max="2" width="15.25" customWidth="1"/>
    <col min="3" max="3" width="13.875" customWidth="1"/>
    <col min="4" max="4" width="15.625" customWidth="1"/>
    <col min="5" max="5" width="15.75" customWidth="1"/>
    <col min="6" max="6" width="17.375" customWidth="1"/>
    <col min="7" max="7" width="14.5" customWidth="1"/>
    <col min="8" max="8" width="13.5" customWidth="1"/>
    <col min="9" max="10" width="10.875" bestFit="1" customWidth="1"/>
  </cols>
  <sheetData>
    <row r="3" spans="1:10" ht="17.25" customHeight="1" thickBot="1" x14ac:dyDescent="0.25"/>
    <row r="4" spans="1:10" ht="13.5" thickBot="1" x14ac:dyDescent="0.25">
      <c r="B4" s="47" t="s">
        <v>34</v>
      </c>
      <c r="C4" s="56"/>
      <c r="D4" s="57"/>
      <c r="E4" s="58"/>
    </row>
    <row r="5" spans="1:10" ht="13.5" thickBot="1" x14ac:dyDescent="0.25">
      <c r="B5" s="47" t="s">
        <v>35</v>
      </c>
      <c r="C5" s="51"/>
      <c r="D5" s="52"/>
      <c r="E5" s="53"/>
    </row>
    <row r="6" spans="1:10" ht="13.5" thickBot="1" x14ac:dyDescent="0.25">
      <c r="B6" s="47" t="s">
        <v>36</v>
      </c>
      <c r="C6" s="54"/>
      <c r="D6" s="55"/>
      <c r="E6" s="53"/>
    </row>
    <row r="7" spans="1:10" ht="6.75" customHeight="1" thickBot="1" x14ac:dyDescent="0.25"/>
    <row r="8" spans="1:10" s="2" customFormat="1" ht="13.5" thickBot="1" x14ac:dyDescent="0.25">
      <c r="A8" s="8" t="s">
        <v>33</v>
      </c>
      <c r="B8" s="34">
        <v>2026</v>
      </c>
      <c r="C8" s="6">
        <f>B8-1</f>
        <v>2025</v>
      </c>
      <c r="D8" s="6">
        <f>C8-1</f>
        <v>2024</v>
      </c>
      <c r="E8" s="6">
        <f>D8-1</f>
        <v>2023</v>
      </c>
      <c r="F8" s="7"/>
      <c r="G8" s="20">
        <v>2011</v>
      </c>
      <c r="H8" s="6">
        <f>G8-1</f>
        <v>2010</v>
      </c>
      <c r="I8" s="6">
        <f>H8-1</f>
        <v>2009</v>
      </c>
      <c r="J8" s="6">
        <f>I8-1</f>
        <v>2008</v>
      </c>
    </row>
    <row r="9" spans="1:10" s="1" customFormat="1" ht="17.100000000000001" customHeight="1" thickBot="1" x14ac:dyDescent="0.25">
      <c r="A9" s="1" t="s">
        <v>22</v>
      </c>
      <c r="B9" s="3"/>
      <c r="C9" s="3"/>
      <c r="D9" s="3"/>
      <c r="E9" s="3"/>
      <c r="F9" s="5" t="s">
        <v>4</v>
      </c>
      <c r="G9" s="21">
        <v>1078808</v>
      </c>
      <c r="H9" s="22">
        <v>1078733</v>
      </c>
      <c r="I9" s="22">
        <v>1088933</v>
      </c>
      <c r="J9" s="23">
        <v>1066000</v>
      </c>
    </row>
    <row r="10" spans="1:10" ht="14.1" customHeight="1" thickBot="1" x14ac:dyDescent="0.25">
      <c r="A10" t="s">
        <v>11</v>
      </c>
      <c r="B10" s="21">
        <v>80000</v>
      </c>
      <c r="C10" s="22">
        <v>80000</v>
      </c>
      <c r="D10" s="22">
        <v>70000</v>
      </c>
      <c r="E10" s="23">
        <v>60000</v>
      </c>
      <c r="F10" s="5" t="s">
        <v>6</v>
      </c>
      <c r="G10" s="24">
        <v>700000</v>
      </c>
      <c r="H10" s="25">
        <v>70000</v>
      </c>
      <c r="I10" s="25">
        <v>900000</v>
      </c>
      <c r="J10" s="26">
        <v>900000</v>
      </c>
    </row>
    <row r="11" spans="1:10" x14ac:dyDescent="0.2">
      <c r="A11" t="s">
        <v>12</v>
      </c>
      <c r="B11" s="35">
        <v>60000</v>
      </c>
      <c r="C11" s="36">
        <v>60000</v>
      </c>
      <c r="D11" s="36">
        <v>60000</v>
      </c>
      <c r="E11" s="37">
        <v>60000</v>
      </c>
      <c r="F11" s="4"/>
      <c r="G11" s="4"/>
      <c r="H11" s="4"/>
      <c r="I11" s="4"/>
      <c r="J11" s="4"/>
    </row>
    <row r="12" spans="1:10" x14ac:dyDescent="0.2">
      <c r="A12" t="s">
        <v>13</v>
      </c>
      <c r="B12" s="35">
        <v>1000000</v>
      </c>
      <c r="C12" s="36">
        <v>900000</v>
      </c>
      <c r="D12" s="36">
        <v>1000000</v>
      </c>
      <c r="E12" s="37">
        <v>1000000</v>
      </c>
      <c r="F12" s="4"/>
      <c r="G12" s="4"/>
      <c r="H12" s="4"/>
      <c r="I12" s="4"/>
      <c r="J12" s="4"/>
    </row>
    <row r="13" spans="1:10" x14ac:dyDescent="0.2">
      <c r="A13" t="s">
        <v>14</v>
      </c>
      <c r="B13" s="38">
        <v>5000</v>
      </c>
      <c r="C13" s="39">
        <v>2000</v>
      </c>
      <c r="D13" s="39">
        <v>3000</v>
      </c>
      <c r="E13" s="40">
        <v>2000</v>
      </c>
      <c r="F13" s="4"/>
      <c r="G13" s="4"/>
      <c r="H13" s="4"/>
      <c r="I13" s="4"/>
      <c r="J13" s="4"/>
    </row>
    <row r="14" spans="1:10" ht="13.5" thickBot="1" x14ac:dyDescent="0.25">
      <c r="A14" t="s">
        <v>15</v>
      </c>
      <c r="B14" s="41">
        <v>2000</v>
      </c>
      <c r="C14" s="42">
        <v>1100</v>
      </c>
      <c r="D14" s="42">
        <v>1000</v>
      </c>
      <c r="E14" s="43">
        <v>1000</v>
      </c>
      <c r="F14" s="4"/>
      <c r="G14" s="4"/>
      <c r="H14" s="4"/>
      <c r="I14" s="4"/>
      <c r="J14" s="4"/>
    </row>
    <row r="15" spans="1:10" x14ac:dyDescent="0.2">
      <c r="A15" s="1" t="s">
        <v>18</v>
      </c>
      <c r="B15" s="19">
        <f>SUM(B10:B14)</f>
        <v>1147000</v>
      </c>
      <c r="C15" s="19">
        <f>SUM(C10:C14)</f>
        <v>1043100</v>
      </c>
      <c r="D15" s="19">
        <f>SUM(D10:D14)</f>
        <v>1134000</v>
      </c>
      <c r="E15" s="19">
        <f>SUM(E10:E14)</f>
        <v>1123000</v>
      </c>
      <c r="F15" s="4"/>
      <c r="G15" s="4"/>
      <c r="H15" s="4"/>
      <c r="I15" s="4"/>
      <c r="J15" s="4"/>
    </row>
    <row r="16" spans="1:10" s="1" customFormat="1" ht="15.75" customHeight="1" thickBot="1" x14ac:dyDescent="0.25">
      <c r="A16" s="1" t="s">
        <v>0</v>
      </c>
      <c r="B16" s="3"/>
      <c r="C16" s="3"/>
      <c r="D16" s="3"/>
      <c r="E16" s="3"/>
      <c r="F16" s="3"/>
      <c r="G16" s="3"/>
      <c r="H16" s="3"/>
      <c r="I16" s="3"/>
      <c r="J16" s="3"/>
    </row>
    <row r="17" spans="1:11" x14ac:dyDescent="0.2">
      <c r="A17" t="s">
        <v>16</v>
      </c>
      <c r="B17" s="21">
        <v>3405238</v>
      </c>
      <c r="C17" s="22">
        <v>2728463</v>
      </c>
      <c r="D17" s="22">
        <v>2835705</v>
      </c>
      <c r="E17" s="23">
        <v>2500000</v>
      </c>
      <c r="F17" s="4"/>
      <c r="G17" s="1"/>
      <c r="H17" s="9"/>
      <c r="I17" s="9"/>
      <c r="J17" s="9"/>
      <c r="K17" s="9"/>
    </row>
    <row r="18" spans="1:11" x14ac:dyDescent="0.2">
      <c r="A18" t="s">
        <v>17</v>
      </c>
      <c r="B18" s="35">
        <v>372277</v>
      </c>
      <c r="C18" s="36">
        <v>206102</v>
      </c>
      <c r="D18" s="36">
        <v>182067</v>
      </c>
      <c r="E18" s="37">
        <v>170000</v>
      </c>
      <c r="F18" s="4"/>
      <c r="G18" s="4"/>
      <c r="H18" s="4"/>
      <c r="I18" s="4"/>
      <c r="J18" s="4"/>
    </row>
    <row r="19" spans="1:11" ht="13.5" thickBot="1" x14ac:dyDescent="0.25">
      <c r="A19" t="s">
        <v>15</v>
      </c>
      <c r="B19" s="44">
        <v>4000</v>
      </c>
      <c r="C19" s="45">
        <v>2000</v>
      </c>
      <c r="D19" s="45">
        <v>1000</v>
      </c>
      <c r="E19" s="46">
        <v>1000</v>
      </c>
      <c r="F19" s="4"/>
      <c r="G19" s="4"/>
      <c r="H19" s="4"/>
      <c r="I19" s="4"/>
      <c r="J19" s="4"/>
    </row>
    <row r="20" spans="1:11" s="1" customFormat="1" ht="15.75" customHeight="1" x14ac:dyDescent="0.2">
      <c r="A20" s="1" t="s">
        <v>19</v>
      </c>
      <c r="B20" s="3">
        <f>SUM(B17:B19)</f>
        <v>3781515</v>
      </c>
      <c r="C20" s="3">
        <f>SUM(C17:C19)</f>
        <v>2936565</v>
      </c>
      <c r="D20" s="3">
        <f>SUM(D17:D19)</f>
        <v>3018772</v>
      </c>
      <c r="E20" s="3">
        <f>SUM(E17:E19)</f>
        <v>2671000</v>
      </c>
      <c r="F20" s="3"/>
      <c r="G20" s="3"/>
      <c r="H20" s="3"/>
      <c r="I20" s="3"/>
      <c r="J20" s="3"/>
    </row>
    <row r="21" spans="1:11" ht="9.75" customHeight="1" thickBot="1" x14ac:dyDescent="0.25">
      <c r="B21" s="4"/>
      <c r="C21" s="4"/>
      <c r="D21" s="4"/>
      <c r="E21" s="4"/>
      <c r="F21" s="4"/>
      <c r="G21" s="4"/>
      <c r="H21" s="4"/>
      <c r="I21" s="4"/>
      <c r="J21" s="4"/>
    </row>
    <row r="22" spans="1:11" ht="13.5" thickBot="1" x14ac:dyDescent="0.25">
      <c r="A22" t="s">
        <v>20</v>
      </c>
      <c r="B22" s="30">
        <v>385000</v>
      </c>
      <c r="C22" s="31">
        <v>410148</v>
      </c>
      <c r="D22" s="31">
        <v>443920</v>
      </c>
      <c r="E22" s="32">
        <v>6000</v>
      </c>
      <c r="F22" s="4"/>
      <c r="G22" s="4"/>
      <c r="H22" s="4"/>
      <c r="I22" s="4"/>
      <c r="J22" s="4"/>
    </row>
    <row r="23" spans="1:11" x14ac:dyDescent="0.2">
      <c r="A23" s="1" t="s">
        <v>21</v>
      </c>
      <c r="B23" s="19">
        <f>SUM(B20+B22)</f>
        <v>4166515</v>
      </c>
      <c r="C23" s="19">
        <f>SUM(C20+C22)</f>
        <v>3346713</v>
      </c>
      <c r="D23" s="19">
        <f>SUM(D20+D22)</f>
        <v>3462692</v>
      </c>
      <c r="E23" s="19"/>
      <c r="F23" s="4"/>
      <c r="G23" s="4"/>
      <c r="H23" s="4"/>
      <c r="I23" s="4"/>
      <c r="J23" s="4"/>
    </row>
    <row r="24" spans="1:11" s="1" customFormat="1" ht="13.5" thickBot="1" x14ac:dyDescent="0.25">
      <c r="A24" s="1" t="s">
        <v>1</v>
      </c>
      <c r="B24" s="3"/>
      <c r="C24" s="3"/>
      <c r="D24" s="3"/>
      <c r="E24" s="3"/>
      <c r="F24" s="3"/>
      <c r="G24" s="3"/>
      <c r="H24" s="3"/>
      <c r="I24" s="3"/>
      <c r="J24" s="3"/>
    </row>
    <row r="25" spans="1:11" x14ac:dyDescent="0.2">
      <c r="A25" t="s">
        <v>23</v>
      </c>
      <c r="B25" s="10">
        <v>6000</v>
      </c>
      <c r="C25" s="11">
        <v>12000</v>
      </c>
      <c r="D25" s="11">
        <v>700</v>
      </c>
      <c r="E25" s="12">
        <v>600</v>
      </c>
      <c r="F25" s="4"/>
      <c r="G25" s="4"/>
      <c r="H25" s="4"/>
      <c r="I25" s="4"/>
      <c r="J25" s="4"/>
    </row>
    <row r="26" spans="1:11" x14ac:dyDescent="0.2">
      <c r="A26" t="s">
        <v>24</v>
      </c>
      <c r="B26" s="13">
        <v>100000</v>
      </c>
      <c r="C26" s="14">
        <v>100000</v>
      </c>
      <c r="D26" s="14">
        <v>100000</v>
      </c>
      <c r="E26" s="15">
        <v>100000</v>
      </c>
      <c r="F26" s="4"/>
      <c r="G26" s="4"/>
      <c r="H26" s="4"/>
      <c r="I26" s="4"/>
      <c r="J26" s="4"/>
    </row>
    <row r="27" spans="1:11" x14ac:dyDescent="0.2">
      <c r="A27" t="s">
        <v>25</v>
      </c>
      <c r="B27" s="13">
        <v>5000</v>
      </c>
      <c r="C27" s="14">
        <v>2000</v>
      </c>
      <c r="D27" s="14">
        <v>4000</v>
      </c>
      <c r="E27" s="15">
        <v>4000</v>
      </c>
      <c r="F27" s="4"/>
      <c r="G27" s="4"/>
      <c r="H27" s="4"/>
      <c r="I27" s="4"/>
      <c r="J27" s="4"/>
    </row>
    <row r="28" spans="1:11" x14ac:dyDescent="0.2">
      <c r="A28" t="s">
        <v>26</v>
      </c>
      <c r="B28" s="13">
        <v>2000</v>
      </c>
      <c r="C28" s="14">
        <v>5000</v>
      </c>
      <c r="D28" s="14">
        <v>800</v>
      </c>
      <c r="E28" s="15">
        <v>800</v>
      </c>
      <c r="F28" s="4"/>
      <c r="G28" s="4"/>
      <c r="H28" s="4"/>
      <c r="I28" s="4"/>
      <c r="J28" s="4"/>
    </row>
    <row r="29" spans="1:11" ht="13.5" thickBot="1" x14ac:dyDescent="0.25">
      <c r="A29" t="s">
        <v>27</v>
      </c>
      <c r="B29" s="16">
        <v>500</v>
      </c>
      <c r="C29" s="17">
        <v>600</v>
      </c>
      <c r="D29" s="17">
        <v>800</v>
      </c>
      <c r="E29" s="18">
        <v>900</v>
      </c>
      <c r="F29" s="4"/>
      <c r="G29" s="4"/>
      <c r="H29" s="4"/>
      <c r="I29" s="4"/>
      <c r="J29" s="4"/>
    </row>
    <row r="30" spans="1:11" s="1" customFormat="1" ht="15.75" customHeight="1" x14ac:dyDescent="0.2">
      <c r="A30" s="1" t="s">
        <v>30</v>
      </c>
      <c r="B30" s="9">
        <f>SUM(B25:B29)</f>
        <v>113500</v>
      </c>
      <c r="C30" s="9">
        <f>SUM(C25:C29)</f>
        <v>119600</v>
      </c>
      <c r="D30" s="9">
        <f>SUM(D25:D29)</f>
        <v>106300</v>
      </c>
      <c r="E30" s="9">
        <f>SUM(E25:E29)</f>
        <v>106300</v>
      </c>
      <c r="F30" s="3"/>
      <c r="G30" s="3"/>
      <c r="H30" s="3"/>
      <c r="I30" s="3"/>
      <c r="J30" s="3"/>
    </row>
    <row r="31" spans="1:11" ht="7.5" customHeight="1" x14ac:dyDescent="0.2">
      <c r="B31" s="4"/>
      <c r="C31" s="4"/>
      <c r="D31" s="4"/>
      <c r="E31" s="4"/>
      <c r="F31" s="4"/>
      <c r="G31" s="4"/>
      <c r="H31" s="4"/>
      <c r="I31" s="4"/>
      <c r="J31" s="4"/>
    </row>
    <row r="32" spans="1:11" s="1" customFormat="1" ht="13.5" thickBot="1" x14ac:dyDescent="0.25">
      <c r="A32" s="1" t="s">
        <v>2</v>
      </c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">
      <c r="A33" t="s">
        <v>28</v>
      </c>
      <c r="B33" s="10">
        <v>1000000</v>
      </c>
      <c r="C33" s="11">
        <v>1796259</v>
      </c>
      <c r="D33" s="11">
        <v>1920328</v>
      </c>
      <c r="E33" s="12">
        <v>1400000</v>
      </c>
      <c r="F33" s="4"/>
      <c r="G33" s="4"/>
      <c r="H33" s="4"/>
      <c r="I33" s="4"/>
      <c r="J33" s="4"/>
    </row>
    <row r="34" spans="1:10" ht="13.5" thickBot="1" x14ac:dyDescent="0.25">
      <c r="A34" t="s">
        <v>27</v>
      </c>
      <c r="B34" s="27">
        <v>2000</v>
      </c>
      <c r="C34" s="28">
        <v>3000</v>
      </c>
      <c r="D34" s="28">
        <v>2000</v>
      </c>
      <c r="E34" s="29">
        <v>4000</v>
      </c>
      <c r="F34" s="4"/>
      <c r="G34" s="4"/>
      <c r="H34" s="4"/>
      <c r="I34" s="4"/>
      <c r="J34" s="4"/>
    </row>
    <row r="35" spans="1:10" s="1" customFormat="1" ht="15.75" customHeight="1" x14ac:dyDescent="0.2">
      <c r="A35" s="1" t="s">
        <v>5</v>
      </c>
      <c r="B35" s="3">
        <f>B30+B33+B34</f>
        <v>1115500</v>
      </c>
      <c r="C35" s="3">
        <f>C30+C33+C34</f>
        <v>1918859</v>
      </c>
      <c r="D35" s="3">
        <f>D30+D33+D34</f>
        <v>2028628</v>
      </c>
      <c r="E35" s="3">
        <f>E30+E33+E34</f>
        <v>1510300</v>
      </c>
      <c r="F35" s="3"/>
      <c r="G35" s="3"/>
      <c r="H35" s="3"/>
      <c r="I35" s="3"/>
      <c r="J35" s="3"/>
    </row>
    <row r="36" spans="1:10" ht="7.5" customHeight="1" x14ac:dyDescent="0.2">
      <c r="B36" s="4"/>
      <c r="C36" s="4"/>
      <c r="D36" s="4"/>
      <c r="E36" s="4"/>
      <c r="F36" s="4"/>
      <c r="G36" s="4"/>
      <c r="H36" s="4"/>
      <c r="I36" s="4"/>
      <c r="J36" s="4"/>
    </row>
    <row r="37" spans="1:10" s="1" customFormat="1" ht="17.100000000000001" customHeight="1" x14ac:dyDescent="0.2">
      <c r="A37" s="1" t="s">
        <v>3</v>
      </c>
      <c r="B37" s="3">
        <v>3545825</v>
      </c>
      <c r="C37" s="3">
        <f>SUM(I17-C35)</f>
        <v>-1918859</v>
      </c>
      <c r="D37" s="3">
        <f>SUM(J17-D35)</f>
        <v>-2028628</v>
      </c>
      <c r="E37" s="3">
        <f>SUM(K17-E35)</f>
        <v>-1510300</v>
      </c>
      <c r="F37" s="3"/>
      <c r="G37" s="3"/>
      <c r="H37" s="3"/>
      <c r="I37" s="3"/>
      <c r="J37" s="3"/>
    </row>
    <row r="38" spans="1:10" s="1" customFormat="1" ht="7.5" customHeight="1" x14ac:dyDescent="0.2">
      <c r="B38" s="3"/>
      <c r="C38" s="3"/>
      <c r="D38" s="3"/>
      <c r="E38" s="3"/>
      <c r="F38" s="3"/>
      <c r="G38" s="3"/>
      <c r="H38" s="3"/>
      <c r="I38" s="3"/>
      <c r="J38" s="3"/>
    </row>
    <row r="39" spans="1:10" s="1" customFormat="1" ht="17.100000000000001" customHeight="1" x14ac:dyDescent="0.2">
      <c r="A39" s="1" t="s">
        <v>29</v>
      </c>
      <c r="B39" s="3">
        <f>B23-B35</f>
        <v>3051015</v>
      </c>
      <c r="C39" s="3">
        <f>C23-C35</f>
        <v>1427854</v>
      </c>
      <c r="D39" s="3">
        <f>D23-D35</f>
        <v>1434064</v>
      </c>
      <c r="E39" s="3">
        <f>E23-E35</f>
        <v>-1510300</v>
      </c>
      <c r="F39" s="3"/>
      <c r="G39" s="3"/>
      <c r="H39" s="3"/>
      <c r="I39" s="3"/>
      <c r="J39" s="3"/>
    </row>
    <row r="40" spans="1:10" ht="7.5" customHeight="1" x14ac:dyDescent="0.2"/>
    <row r="41" spans="1:10" ht="14.25" customHeight="1" x14ac:dyDescent="0.2">
      <c r="A41" s="48" t="s">
        <v>31</v>
      </c>
      <c r="B41" s="49">
        <f>B30/B37</f>
        <v>3.2009475932963417E-2</v>
      </c>
      <c r="C41" s="49">
        <f>C30/C37</f>
        <v>-6.2328706799196817E-2</v>
      </c>
      <c r="D41" s="49">
        <f>D30/D37</f>
        <v>-5.2399947156403247E-2</v>
      </c>
      <c r="E41" s="49">
        <f>E30/E37</f>
        <v>-7.0383367542872277E-2</v>
      </c>
    </row>
    <row r="42" spans="1:10" ht="14.25" customHeight="1" x14ac:dyDescent="0.2">
      <c r="A42" s="48" t="s">
        <v>7</v>
      </c>
      <c r="B42" s="49">
        <f>B15/B30</f>
        <v>10.105726872246697</v>
      </c>
      <c r="C42" s="49">
        <f>C15/C30</f>
        <v>8.7215719063545158</v>
      </c>
      <c r="D42" s="49">
        <f>D15/D30</f>
        <v>10.667920978363123</v>
      </c>
      <c r="E42" s="49">
        <f>E15/E30</f>
        <v>10.564440263405457</v>
      </c>
    </row>
    <row r="43" spans="1:10" ht="14.25" customHeight="1" x14ac:dyDescent="0.2">
      <c r="A43" s="48" t="s">
        <v>8</v>
      </c>
      <c r="B43" s="49">
        <f>SUM(B15-B12)/B30</f>
        <v>1.2951541850220265</v>
      </c>
      <c r="C43" s="49">
        <f>SUM(C15-C12)/C30</f>
        <v>1.1964882943143813</v>
      </c>
      <c r="D43" s="49">
        <f>SUM(D15-D12)/D30</f>
        <v>1.2605832549388523</v>
      </c>
      <c r="E43" s="49">
        <f>SUM(E15-E12)/E30</f>
        <v>1.1571025399811854</v>
      </c>
    </row>
    <row r="44" spans="1:10" ht="14.25" customHeight="1" x14ac:dyDescent="0.2">
      <c r="A44" s="48" t="s">
        <v>32</v>
      </c>
      <c r="B44" s="50">
        <f>SUM(B12/G10)</f>
        <v>1.4285714285714286</v>
      </c>
      <c r="C44" s="50">
        <f>SUM(C12/H10)</f>
        <v>12.857142857142858</v>
      </c>
      <c r="D44" s="50">
        <f>SUM(D12/I10)</f>
        <v>1.1111111111111112</v>
      </c>
      <c r="E44" s="50">
        <f>SUM(E12/J10)</f>
        <v>1.1111111111111112</v>
      </c>
      <c r="F44" s="33"/>
    </row>
    <row r="45" spans="1:10" ht="14.25" customHeight="1" x14ac:dyDescent="0.2">
      <c r="A45" s="48" t="s">
        <v>9</v>
      </c>
      <c r="B45" s="49">
        <f>SUM(B12/B17)</f>
        <v>0.29366522986058535</v>
      </c>
      <c r="C45" s="49">
        <f>SUM(C12/C17)</f>
        <v>0.32985603982901729</v>
      </c>
      <c r="D45" s="49">
        <f>SUM(D12/D17)</f>
        <v>0.35264599103221245</v>
      </c>
      <c r="E45" s="49">
        <f>SUM(E12/E17)</f>
        <v>0.4</v>
      </c>
      <c r="G45" s="33"/>
    </row>
    <row r="46" spans="1:10" ht="14.25" customHeight="1" x14ac:dyDescent="0.2">
      <c r="A46" s="48" t="s">
        <v>38</v>
      </c>
      <c r="B46" s="49">
        <f>B10/B15</f>
        <v>6.9747166521360066E-2</v>
      </c>
      <c r="C46" s="49">
        <f>C10/C15</f>
        <v>7.6694468411465822E-2</v>
      </c>
      <c r="D46" s="49">
        <f>D10/D15</f>
        <v>6.1728395061728392E-2</v>
      </c>
      <c r="E46" s="49">
        <f>E10/E15</f>
        <v>5.3428317008014245E-2</v>
      </c>
    </row>
    <row r="47" spans="1:10" ht="14.25" customHeight="1" x14ac:dyDescent="0.2">
      <c r="A47" s="48" t="s">
        <v>37</v>
      </c>
      <c r="B47" s="49">
        <f>SUM(B11*365)/G9</f>
        <v>20.300183165122988</v>
      </c>
      <c r="C47" s="49">
        <f>SUM(C11*365)/H9</f>
        <v>20.301594555835411</v>
      </c>
      <c r="D47" s="49">
        <f>SUM(D11*365)/I9</f>
        <v>20.111430179818225</v>
      </c>
      <c r="E47" s="49">
        <f>SUM(E11*365)/J9</f>
        <v>20.544090056285178</v>
      </c>
    </row>
    <row r="48" spans="1:10" ht="14.25" customHeight="1" x14ac:dyDescent="0.2">
      <c r="A48" s="48" t="s">
        <v>10</v>
      </c>
      <c r="B48" s="49">
        <f>B39/B35</f>
        <v>2.7351098162259078</v>
      </c>
      <c r="C48" s="49">
        <f>C39/C35</f>
        <v>0.74411616486672549</v>
      </c>
      <c r="D48" s="49">
        <f>D39/D35</f>
        <v>0.70691324382784815</v>
      </c>
      <c r="E48" s="49">
        <f>E39/E35</f>
        <v>-1</v>
      </c>
    </row>
  </sheetData>
  <protectedRanges>
    <protectedRange sqref="F34 B17:E19 B22:E22 B25:E29 B33:E34" name="Range2"/>
    <protectedRange sqref="C4:D6 B8 G8 G9:J10 B10:E14" name="Range1"/>
  </protectedRanges>
  <mergeCells count="1">
    <mergeCell ref="C4:E4"/>
  </mergeCells>
  <phoneticPr fontId="3" type="noConversion"/>
  <pageMargins left="0.25" right="0.25" top="1" bottom="0.5" header="0.5" footer="0.5"/>
  <pageSetup orientation="portrait" horizontalDpi="4294967292" verticalDpi="4294967292" r:id="rId1"/>
  <headerFooter alignWithMargins="0">
    <oddHeader>&amp;C&amp;"Verdana,Bold"&amp;14BALANCE SHEET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Cornerstone</dc:creator>
  <cp:lastModifiedBy>Rob Belfield</cp:lastModifiedBy>
  <cp:lastPrinted>2020-07-21T20:44:18Z</cp:lastPrinted>
  <dcterms:created xsi:type="dcterms:W3CDTF">2011-03-09T16:08:34Z</dcterms:created>
  <dcterms:modified xsi:type="dcterms:W3CDTF">2026-04-07T20:55:34Z</dcterms:modified>
</cp:coreProperties>
</file>