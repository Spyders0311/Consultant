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O:\MH&amp;C\Clients\Multi Technical Publication Servs\Financial Tools\"/>
    </mc:Choice>
  </mc:AlternateContent>
  <xr:revisionPtr revIDLastSave="0" documentId="13_ncr:1_{6B056C85-E873-47A0-A701-7A8EAB6C58B3}" xr6:coauthVersionLast="34" xr6:coauthVersionMax="34" xr10:uidLastSave="{00000000-0000-0000-0000-000000000000}"/>
  <bookViews>
    <workbookView xWindow="0" yWindow="0" windowWidth="19200" windowHeight="7700" activeTab="3" xr2:uid="{24F30809-5702-441C-8079-EB84C65C61C1}"/>
  </bookViews>
  <sheets>
    <sheet name="Instructions" sheetId="4" r:id="rId1"/>
    <sheet name="BE Tool" sheetId="1" r:id="rId2"/>
    <sheet name="Detailed What If" sheetId="3" r:id="rId3"/>
    <sheet name="Seasonality Impact" sheetId="2" r:id="rId4"/>
  </sheets>
  <externalReferences>
    <externalReference r:id="rId5"/>
  </externalReference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7" i="2" l="1"/>
  <c r="L37" i="2"/>
  <c r="K37" i="2"/>
  <c r="J37" i="2"/>
  <c r="I37" i="2"/>
  <c r="H37" i="2"/>
  <c r="G37" i="2"/>
  <c r="F37" i="2"/>
  <c r="E37" i="2"/>
  <c r="D37" i="2"/>
  <c r="C37" i="2"/>
  <c r="B37" i="2"/>
  <c r="B36" i="2"/>
  <c r="B38" i="2" s="1"/>
  <c r="M35" i="2"/>
  <c r="L35" i="2"/>
  <c r="K35" i="2"/>
  <c r="J35" i="2"/>
  <c r="I35" i="2"/>
  <c r="H35" i="2"/>
  <c r="G35" i="2"/>
  <c r="F35" i="2"/>
  <c r="E35" i="2"/>
  <c r="D35" i="2"/>
  <c r="C35" i="2"/>
  <c r="B35" i="2"/>
  <c r="B33" i="2"/>
  <c r="C33" i="2" s="1"/>
  <c r="D33" i="2" s="1"/>
  <c r="E33" i="2" s="1"/>
  <c r="F33" i="2" s="1"/>
  <c r="G33" i="2" s="1"/>
  <c r="H33" i="2" s="1"/>
  <c r="I33" i="2" s="1"/>
  <c r="J33" i="2" s="1"/>
  <c r="K33" i="2" s="1"/>
  <c r="L33" i="2" s="1"/>
  <c r="M33" i="2" s="1"/>
  <c r="M32" i="2"/>
  <c r="L32" i="2"/>
  <c r="K32" i="2"/>
  <c r="J32" i="2"/>
  <c r="I32" i="2"/>
  <c r="H32" i="2"/>
  <c r="G32" i="2"/>
  <c r="F32" i="2"/>
  <c r="E32" i="2"/>
  <c r="D32" i="2"/>
  <c r="C32" i="2"/>
  <c r="B32" i="2"/>
  <c r="B31" i="2"/>
  <c r="C31" i="2" s="1"/>
  <c r="M30" i="2"/>
  <c r="L30" i="2"/>
  <c r="K30" i="2"/>
  <c r="J30" i="2"/>
  <c r="I30" i="2"/>
  <c r="H30" i="2"/>
  <c r="G30" i="2"/>
  <c r="F30" i="2"/>
  <c r="E30" i="2"/>
  <c r="D30" i="2"/>
  <c r="C30" i="2"/>
  <c r="B30" i="2"/>
  <c r="H43" i="3"/>
  <c r="F34" i="3"/>
  <c r="H32" i="3"/>
  <c r="F30" i="3"/>
  <c r="H30" i="3" s="1"/>
  <c r="H34" i="3" s="1"/>
  <c r="F35" i="3" s="1"/>
  <c r="H18" i="3"/>
  <c r="F18" i="3"/>
  <c r="E5" i="3"/>
  <c r="G34" i="1"/>
  <c r="D12" i="1"/>
  <c r="F12" i="1" s="1"/>
  <c r="C39" i="2" l="1"/>
  <c r="D31" i="2"/>
  <c r="C36" i="2"/>
  <c r="B39" i="2"/>
  <c r="G28" i="1"/>
  <c r="D18" i="1"/>
  <c r="D16" i="1"/>
  <c r="F16" i="1" s="1"/>
  <c r="D36" i="2" l="1"/>
  <c r="C38" i="2"/>
  <c r="D39" i="2"/>
  <c r="E31" i="2"/>
  <c r="B21" i="1"/>
  <c r="D21" i="1" s="1"/>
  <c r="F21" i="1" s="1"/>
  <c r="H21" i="1" s="1"/>
  <c r="G32" i="1"/>
  <c r="G30" i="1"/>
  <c r="D40" i="1" s="1"/>
  <c r="B43" i="1" s="1"/>
  <c r="D43" i="1" s="1"/>
  <c r="F43" i="1" s="1"/>
  <c r="H43" i="1" s="1"/>
  <c r="F31" i="2" l="1"/>
  <c r="E36" i="2"/>
  <c r="D38" i="2"/>
  <c r="E38" i="2" l="1"/>
  <c r="F36" i="2"/>
  <c r="F39" i="2"/>
  <c r="G31" i="2"/>
  <c r="E39" i="2"/>
  <c r="F38" i="2" l="1"/>
  <c r="G36" i="2"/>
  <c r="G39" i="2"/>
  <c r="H31" i="2"/>
  <c r="H39" i="2" l="1"/>
  <c r="I31" i="2"/>
  <c r="G38" i="2"/>
  <c r="H36" i="2"/>
  <c r="H38" i="2" l="1"/>
  <c r="I36" i="2"/>
  <c r="J31" i="2"/>
  <c r="I39" i="2"/>
  <c r="K31" i="2" l="1"/>
  <c r="I38" i="2"/>
  <c r="J36" i="2"/>
  <c r="K36" i="2" l="1"/>
  <c r="K39" i="2" s="1"/>
  <c r="J38" i="2"/>
  <c r="L31" i="2"/>
  <c r="J39" i="2"/>
  <c r="L36" i="2" l="1"/>
  <c r="K38" i="2"/>
  <c r="L39" i="2"/>
  <c r="M31" i="2"/>
  <c r="M39" i="2" l="1"/>
  <c r="M36" i="2"/>
  <c r="M38" i="2" s="1"/>
  <c r="L3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Richard Dierbach</author>
  </authors>
  <commentList>
    <comment ref="B28" authorId="0" shapeId="0" xr:uid="{AA0A535D-DBEA-4BED-8017-999F0CEF243B}">
      <text>
        <r>
          <rPr>
            <b/>
            <sz val="9"/>
            <color indexed="81"/>
            <rFont val="Tahoma"/>
            <family val="2"/>
          </rPr>
          <t>Richard Dierbach:
Break Even on increased COGS is really a one for one dollar change, however, while this will pay for the increased costs; it alters your COGS / Gross Margin percentages.
The tool calculates Break Even on increased COGS so that the Baseline Gross Margin percentate is preserved.</t>
        </r>
        <r>
          <rPr>
            <sz val="9"/>
            <color indexed="81"/>
            <rFont val="Tahoma"/>
            <family val="2"/>
          </rPr>
          <t xml:space="preserve">
</t>
        </r>
      </text>
    </comment>
    <comment ref="B33" authorId="0" shapeId="0" xr:uid="{98F3656F-86F7-4383-BC26-A241A35EA7A5}">
      <text>
        <r>
          <rPr>
            <b/>
            <sz val="9"/>
            <color indexed="81"/>
            <rFont val="Tahoma"/>
            <family val="2"/>
          </rPr>
          <t>Richard Dierbach:
An increase in Profits may be entered as either a dollar amount OR as a percentage.  The Percentage will override the dollars.  The Required Revenue will display in bright yellow to indicate if the dollars or percentage is being used.
If you enter a percentage, and there are additional costs detailed above, the percentage will be applied to the additional required Revenue based on the additional costs.  If NO costs are entered above, the percentage will be applied to the baseline P&amp;L.</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Richard Dierbach</author>
  </authors>
  <commentList>
    <comment ref="B33" authorId="0" shapeId="0" xr:uid="{6F7CF025-DDB3-43D9-8F9D-926730E7786A}">
      <text>
        <r>
          <rPr>
            <b/>
            <sz val="9"/>
            <color indexed="81"/>
            <rFont val="Tahoma"/>
            <family val="2"/>
          </rPr>
          <t xml:space="preserve">Richard Dierbach:
An increase in Profits may be entered as either a dollar amount OR as a percentage.  The Percentage will override the dollars.  The Required Revenue will display in bright yellow to indicate if the dollars or percentage is being used.
If you enter a percentage, and there are additional costs detailed above, the percentage will be applied to the additional required Revenue based on the additional costs.  </t>
        </r>
        <r>
          <rPr>
            <sz val="9"/>
            <color indexed="81"/>
            <rFont val="Tahoma"/>
            <family val="2"/>
          </rPr>
          <t xml:space="preserve">
</t>
        </r>
      </text>
    </comment>
  </commentList>
</comments>
</file>

<file path=xl/sharedStrings.xml><?xml version="1.0" encoding="utf-8"?>
<sst xmlns="http://schemas.openxmlformats.org/spreadsheetml/2006/main" count="108" uniqueCount="96">
  <si>
    <t>Break Even Tool</t>
  </si>
  <si>
    <t>Base line P&amp;L Data</t>
  </si>
  <si>
    <t>Revenue:</t>
  </si>
  <si>
    <t>Cost of Good Sold:</t>
  </si>
  <si>
    <t>Gross Margin:</t>
  </si>
  <si>
    <t>Overhead:</t>
  </si>
  <si>
    <t>Profit / Loss:</t>
  </si>
  <si>
    <t>Break Even:</t>
  </si>
  <si>
    <t># Workdays:</t>
  </si>
  <si>
    <t>Quarterly</t>
  </si>
  <si>
    <t>Monthly</t>
  </si>
  <si>
    <t>Weekly</t>
  </si>
  <si>
    <t>Daily</t>
  </si>
  <si>
    <t>50,000 Foot "What if"</t>
  </si>
  <si>
    <t>Increased Costs:</t>
  </si>
  <si>
    <t>Required Revenue:</t>
  </si>
  <si>
    <t>COGS:</t>
  </si>
  <si>
    <t>Profit $'s:</t>
  </si>
  <si>
    <t>OR</t>
  </si>
  <si>
    <t>Profit %:</t>
  </si>
  <si>
    <t>Recast Break Even</t>
  </si>
  <si>
    <t>Break Even Tool Instructions</t>
  </si>
  <si>
    <t>This is the Break Even tool.  It allows you to understand the Revenue required to</t>
  </si>
  <si>
    <t xml:space="preserve">cover all of your costs, and when you start making Profits.  It also allows you to </t>
  </si>
  <si>
    <t>explore "what if" scenarios.  What if: we add this cost to the company?  What</t>
  </si>
  <si>
    <t>Revenue is required in order to pay for it without negatively impacting Profits?</t>
  </si>
  <si>
    <t>What if: we want to make x more profit?  How much more Revenue do we need to do?</t>
  </si>
  <si>
    <t>The tool has four tabs:</t>
  </si>
  <si>
    <t>Instructions - this tab, an overview of the tool</t>
  </si>
  <si>
    <t>BE Tool - the main data input and Break Even Analysis tab</t>
  </si>
  <si>
    <t>Detailed What If - allows you to break out cost details and notes</t>
  </si>
  <si>
    <t>Seasonality Impact - displays Break Even over your Sales Trend.</t>
  </si>
  <si>
    <t>BE Tool</t>
  </si>
  <si>
    <t xml:space="preserve">This tab is used to determine the base line </t>
  </si>
  <si>
    <t>Break Even, and calculate it down to Quarter,</t>
  </si>
  <si>
    <t>Month, Week and Day.</t>
  </si>
  <si>
    <t xml:space="preserve">Enter your base ANNUAL Sales, COGS, and </t>
  </si>
  <si>
    <t>Overhead here.</t>
  </si>
  <si>
    <t>The Annual Break Even is here.  The Q, M, W,</t>
  </si>
  <si>
    <t>and Daily are here.  You may change the number</t>
  </si>
  <si>
    <t>of workdays in a week here.</t>
  </si>
  <si>
    <t>The center section is used for the "What if."</t>
  </si>
  <si>
    <t>Enter potential increased COGS, Overhead,</t>
  </si>
  <si>
    <t xml:space="preserve">and expected Profits (as $'s or %'s.)  The tool </t>
  </si>
  <si>
    <t>displays the recast Break Even here.</t>
  </si>
  <si>
    <t>Detailed What if</t>
  </si>
  <si>
    <t>This tab is used to develop a more detailed "What</t>
  </si>
  <si>
    <t xml:space="preserve">if" scenario.  You may enter up to 10 lines for </t>
  </si>
  <si>
    <t>increased COGS and increased Overhead here.</t>
  </si>
  <si>
    <t>Enter a description for each line.</t>
  </si>
  <si>
    <t>Enter additional profit expectations here as either</t>
  </si>
  <si>
    <t>a dollar amount OR as a percentage of the additional</t>
  </si>
  <si>
    <t>Revenue required to cover the additional costs.</t>
  </si>
  <si>
    <t>Enter comments relating to the opportunity here.</t>
  </si>
  <si>
    <t>Seasonality Impact</t>
  </si>
  <si>
    <t xml:space="preserve">This tool displays the BASE LINE BREAK EVEN over the Sales Trends for the </t>
  </si>
  <si>
    <t>company.  It shows you at what point in the year you achieve Break Even and start</t>
  </si>
  <si>
    <t>to make Profit.</t>
  </si>
  <si>
    <t>Enter your Seasonality here.</t>
  </si>
  <si>
    <t>General</t>
  </si>
  <si>
    <t xml:space="preserve">ONLY type in light yellow cells, others are protected and may contain </t>
  </si>
  <si>
    <t>formulas even if they look empty.</t>
  </si>
  <si>
    <t>Break even will allow you to understand the feasibility of additional costs, and will also</t>
  </si>
  <si>
    <t xml:space="preserve">have an impact on pricing.  Once you have achieved Break Even for the Y,Q,M or D, </t>
  </si>
  <si>
    <t>you can decrease prices and make more money - Overhead as been paid!</t>
  </si>
  <si>
    <t>BE Tool Detailed WF</t>
  </si>
  <si>
    <t>Baseline BE:</t>
  </si>
  <si>
    <t>Additional COGS:</t>
  </si>
  <si>
    <t>Cost:</t>
  </si>
  <si>
    <t>Required Revenue</t>
  </si>
  <si>
    <t>Total Additional COGS:</t>
  </si>
  <si>
    <t>Additional Overhead:</t>
  </si>
  <si>
    <t>Total Additional Overhead:</t>
  </si>
  <si>
    <t>Comments</t>
  </si>
  <si>
    <t>As of:</t>
  </si>
  <si>
    <t>Jan</t>
  </si>
  <si>
    <t>Feb</t>
  </si>
  <si>
    <t>Mar</t>
  </si>
  <si>
    <t>Apr</t>
  </si>
  <si>
    <t>May</t>
  </si>
  <si>
    <t>Jun</t>
  </si>
  <si>
    <t>Jul</t>
  </si>
  <si>
    <t>Aug</t>
  </si>
  <si>
    <t>Sep</t>
  </si>
  <si>
    <t>Oct</t>
  </si>
  <si>
    <t>Nov</t>
  </si>
  <si>
    <t>Dec</t>
  </si>
  <si>
    <t>Trend</t>
  </si>
  <si>
    <t>$'s Sales</t>
  </si>
  <si>
    <t>Cum Sales</t>
  </si>
  <si>
    <t>What if sales</t>
  </si>
  <si>
    <t>Cum WIF</t>
  </si>
  <si>
    <t>COGS</t>
  </si>
  <si>
    <t>OH</t>
  </si>
  <si>
    <t>B/E</t>
  </si>
  <si>
    <t>Profit /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</si>
</sst>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7" formatCode="&quot;$&quot;#,##0.00_);\(&quot;$&quot;#,##0.00\)"/>
    <numFmt numFmtId="43" formatCode="_(* #,##0.00_);_(* \(#,##0.00\);_(* &quot;-&quot;??_);_(@_)"/>
    <numFmt numFmtId="164" formatCode="0_);\(0\)"/>
    <numFmt numFmtId="165" formatCode="&quot;$&quot;#,##0.0_);\(&quot;$&quot;#,##0.0\)"/>
  </numFmts>
  <fonts count="14" x14ac:knownFonts="1">
    <font>
      <sz val="11"/>
      <color theme="1"/>
      <name val="Calibri"/>
      <family val="2"/>
      <scheme val="minor"/>
    </font>
    <font>
      <sz val="11"/>
      <color theme="1"/>
      <name val="Calibri"/>
      <family val="2"/>
      <scheme val="minor"/>
    </font>
    <font>
      <b/>
      <sz val="12"/>
      <color theme="1"/>
      <name val="Times New Roman"/>
      <family val="1"/>
    </font>
    <font>
      <b/>
      <sz val="22"/>
      <color rgb="FF0000CC"/>
      <name val="Times New Roman"/>
      <family val="1"/>
    </font>
    <font>
      <b/>
      <sz val="18"/>
      <color theme="1"/>
      <name val="Times New Roman"/>
      <family val="1"/>
    </font>
    <font>
      <b/>
      <sz val="12"/>
      <color rgb="FF0000CC"/>
      <name val="Times New Roman"/>
      <family val="1"/>
    </font>
    <font>
      <b/>
      <sz val="12"/>
      <color theme="0"/>
      <name val="Times New Roman"/>
      <family val="1"/>
    </font>
    <font>
      <b/>
      <sz val="9"/>
      <color indexed="81"/>
      <name val="Tahoma"/>
      <family val="2"/>
    </font>
    <font>
      <sz val="9"/>
      <color indexed="81"/>
      <name val="Tahoma"/>
      <family val="2"/>
    </font>
    <font>
      <b/>
      <sz val="18"/>
      <color rgb="FF0000CC"/>
      <name val="Times New Roman"/>
      <family val="1"/>
    </font>
    <font>
      <b/>
      <sz val="16"/>
      <color rgb="FF0000CC"/>
      <name val="Times New Roman"/>
      <family val="1"/>
    </font>
    <font>
      <b/>
      <sz val="14"/>
      <color theme="1"/>
      <name val="Times New Roman"/>
      <family val="1"/>
    </font>
    <font>
      <sz val="10"/>
      <name val="Times New Roman"/>
      <family val="1"/>
    </font>
    <font>
      <b/>
      <sz val="10"/>
      <name val="Times New Roman"/>
      <family val="1"/>
    </font>
  </fonts>
  <fills count="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99"/>
        <bgColor indexed="64"/>
      </patternFill>
    </fill>
    <fill>
      <patternFill patternType="solid">
        <fgColor rgb="FF0000CC"/>
        <bgColor indexed="64"/>
      </patternFill>
    </fill>
    <fill>
      <patternFill patternType="solid">
        <fgColor rgb="FF0066FF"/>
        <bgColor indexed="64"/>
      </patternFill>
    </fill>
    <fill>
      <patternFill patternType="solid">
        <fgColor rgb="FF66CCFF"/>
        <bgColor indexed="64"/>
      </patternFill>
    </fill>
    <fill>
      <patternFill patternType="solid">
        <fgColor rgb="FFCCECFF"/>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bottom/>
      <diagonal/>
    </border>
    <border>
      <left/>
      <right/>
      <top/>
      <bottom style="thin">
        <color auto="1"/>
      </bottom>
      <diagonal/>
    </border>
    <border>
      <left/>
      <right/>
      <top style="thin">
        <color auto="1"/>
      </top>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0">
    <xf numFmtId="0" fontId="0" fillId="0" borderId="0" xfId="0"/>
    <xf numFmtId="0" fontId="2" fillId="2" borderId="1" xfId="0" applyFont="1" applyFill="1" applyBorder="1"/>
    <xf numFmtId="0" fontId="2" fillId="2" borderId="2" xfId="0" applyFont="1" applyFill="1" applyBorder="1"/>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2" borderId="3" xfId="0" applyFont="1" applyFill="1" applyBorder="1"/>
    <xf numFmtId="0" fontId="0" fillId="3" borderId="0" xfId="0" applyFill="1"/>
    <xf numFmtId="0" fontId="2" fillId="2" borderId="4" xfId="0" applyFont="1" applyFill="1" applyBorder="1"/>
    <xf numFmtId="0" fontId="2" fillId="2" borderId="0" xfId="0" applyFont="1" applyFill="1" applyBorder="1"/>
    <xf numFmtId="0" fontId="3" fillId="3" borderId="4"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2" fillId="2" borderId="5" xfId="0" applyFont="1" applyFill="1" applyBorder="1"/>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5" xfId="0" applyFont="1" applyFill="1" applyBorder="1" applyAlignment="1">
      <alignment horizontal="center" vertical="center" wrapText="1"/>
    </xf>
    <xf numFmtId="5" fontId="2" fillId="4" borderId="9" xfId="0" applyNumberFormat="1" applyFont="1" applyFill="1" applyBorder="1" applyAlignment="1" applyProtection="1">
      <alignment horizontal="center"/>
      <protection locked="0"/>
    </xf>
    <xf numFmtId="5" fontId="2" fillId="4" borderId="10" xfId="0" applyNumberFormat="1" applyFont="1" applyFill="1" applyBorder="1" applyAlignment="1" applyProtection="1">
      <alignment horizontal="center"/>
      <protection locked="0"/>
    </xf>
    <xf numFmtId="7" fontId="0" fillId="3" borderId="0" xfId="0" applyNumberFormat="1" applyFill="1"/>
    <xf numFmtId="5" fontId="2" fillId="2" borderId="9" xfId="0" applyNumberFormat="1" applyFont="1" applyFill="1" applyBorder="1" applyAlignment="1">
      <alignment horizontal="center"/>
    </xf>
    <xf numFmtId="5" fontId="2" fillId="2" borderId="10" xfId="0" applyNumberFormat="1" applyFont="1" applyFill="1" applyBorder="1" applyAlignment="1">
      <alignment horizontal="center"/>
    </xf>
    <xf numFmtId="9" fontId="2" fillId="2" borderId="0" xfId="2" applyFont="1" applyFill="1" applyBorder="1"/>
    <xf numFmtId="9" fontId="0" fillId="3" borderId="0" xfId="0" applyNumberFormat="1" applyFill="1"/>
    <xf numFmtId="5" fontId="0" fillId="3" borderId="0" xfId="0" applyNumberFormat="1" applyFill="1"/>
    <xf numFmtId="5" fontId="5" fillId="3" borderId="9" xfId="0" applyNumberFormat="1" applyFont="1" applyFill="1" applyBorder="1" applyAlignment="1">
      <alignment horizontal="center"/>
    </xf>
    <xf numFmtId="5" fontId="5" fillId="3" borderId="10" xfId="0" applyNumberFormat="1" applyFont="1" applyFill="1" applyBorder="1" applyAlignment="1">
      <alignment horizontal="center"/>
    </xf>
    <xf numFmtId="0" fontId="2" fillId="2" borderId="0" xfId="0" applyFont="1" applyFill="1" applyBorder="1" applyAlignment="1">
      <alignment horizontal="right"/>
    </xf>
    <xf numFmtId="164" fontId="2" fillId="4" borderId="11" xfId="0" applyNumberFormat="1" applyFont="1" applyFill="1" applyBorder="1" applyProtection="1">
      <protection locked="0"/>
    </xf>
    <xf numFmtId="0" fontId="6" fillId="5" borderId="1" xfId="0" applyFont="1" applyFill="1" applyBorder="1" applyAlignment="1">
      <alignment horizontal="center"/>
    </xf>
    <xf numFmtId="0" fontId="6" fillId="5" borderId="3" xfId="0" applyFont="1" applyFill="1" applyBorder="1" applyAlignment="1">
      <alignment horizontal="center"/>
    </xf>
    <xf numFmtId="0" fontId="6" fillId="6" borderId="1" xfId="0" applyFont="1" applyFill="1" applyBorder="1" applyAlignment="1">
      <alignment horizontal="center"/>
    </xf>
    <xf numFmtId="0" fontId="6" fillId="6" borderId="3" xfId="0" applyFont="1" applyFill="1" applyBorder="1" applyAlignment="1">
      <alignment horizontal="center"/>
    </xf>
    <xf numFmtId="0" fontId="2" fillId="7" borderId="1" xfId="0" applyFont="1" applyFill="1" applyBorder="1" applyAlignment="1">
      <alignment horizontal="center"/>
    </xf>
    <xf numFmtId="0" fontId="2" fillId="7" borderId="3" xfId="0" applyFont="1" applyFill="1" applyBorder="1" applyAlignment="1">
      <alignment horizontal="center"/>
    </xf>
    <xf numFmtId="0" fontId="2" fillId="8" borderId="1" xfId="0" applyFont="1" applyFill="1" applyBorder="1" applyAlignment="1">
      <alignment horizontal="center"/>
    </xf>
    <xf numFmtId="0" fontId="2" fillId="8" borderId="3" xfId="0" applyFont="1" applyFill="1" applyBorder="1" applyAlignment="1">
      <alignment horizontal="center"/>
    </xf>
    <xf numFmtId="5" fontId="6" fillId="5" borderId="6" xfId="0" applyNumberFormat="1" applyFont="1" applyFill="1" applyBorder="1" applyAlignment="1">
      <alignment horizontal="center"/>
    </xf>
    <xf numFmtId="0" fontId="6" fillId="5" borderId="8" xfId="0" applyFont="1" applyFill="1" applyBorder="1" applyAlignment="1">
      <alignment horizontal="center"/>
    </xf>
    <xf numFmtId="5" fontId="6" fillId="6" borderId="6" xfId="0" applyNumberFormat="1" applyFont="1" applyFill="1" applyBorder="1" applyAlignment="1">
      <alignment horizontal="center"/>
    </xf>
    <xf numFmtId="5" fontId="6" fillId="6" borderId="8" xfId="0" applyNumberFormat="1" applyFont="1" applyFill="1" applyBorder="1" applyAlignment="1">
      <alignment horizontal="center"/>
    </xf>
    <xf numFmtId="5" fontId="2" fillId="7" borderId="6" xfId="0" applyNumberFormat="1" applyFont="1" applyFill="1" applyBorder="1" applyAlignment="1">
      <alignment horizontal="center"/>
    </xf>
    <xf numFmtId="0" fontId="2" fillId="7" borderId="8" xfId="0" applyFont="1" applyFill="1" applyBorder="1" applyAlignment="1">
      <alignment horizontal="center"/>
    </xf>
    <xf numFmtId="5" fontId="2" fillId="8" borderId="6" xfId="0" applyNumberFormat="1" applyFont="1" applyFill="1" applyBorder="1" applyAlignment="1">
      <alignment horizontal="center"/>
    </xf>
    <xf numFmtId="0" fontId="2" fillId="8" borderId="8" xfId="0" applyFont="1" applyFill="1" applyBorder="1" applyAlignment="1">
      <alignment horizontal="center"/>
    </xf>
    <xf numFmtId="165" fontId="0" fillId="3" borderId="0" xfId="0" applyNumberFormat="1" applyFill="1"/>
    <xf numFmtId="0" fontId="2" fillId="2" borderId="4" xfId="0" applyFont="1" applyFill="1" applyBorder="1" applyAlignment="1">
      <alignment horizontal="center"/>
    </xf>
    <xf numFmtId="0" fontId="2" fillId="2" borderId="0" xfId="0" applyFont="1" applyFill="1" applyBorder="1" applyAlignment="1">
      <alignment horizontal="center"/>
    </xf>
    <xf numFmtId="5" fontId="2" fillId="2" borderId="5" xfId="0" applyNumberFormat="1" applyFont="1" applyFill="1" applyBorder="1"/>
    <xf numFmtId="10" fontId="0" fillId="3" borderId="0" xfId="2" applyNumberFormat="1" applyFont="1" applyFill="1"/>
    <xf numFmtId="0" fontId="2" fillId="2" borderId="4" xfId="0" applyFont="1" applyFill="1" applyBorder="1" applyAlignment="1">
      <alignment horizontal="center" vertical="center" wrapText="1"/>
    </xf>
    <xf numFmtId="0" fontId="2" fillId="2" borderId="0" xfId="0" applyFont="1" applyFill="1" applyBorder="1" applyAlignment="1">
      <alignment horizontal="center" vertical="center" wrapText="1"/>
    </xf>
    <xf numFmtId="9" fontId="2" fillId="4" borderId="12" xfId="2" applyFont="1" applyFill="1" applyBorder="1" applyAlignment="1" applyProtection="1">
      <alignment horizontal="center" vertical="center" wrapText="1"/>
      <protection locked="0"/>
    </xf>
    <xf numFmtId="9" fontId="2" fillId="4" borderId="13" xfId="2" applyFont="1" applyFill="1" applyBorder="1" applyAlignment="1" applyProtection="1">
      <alignment horizontal="center" vertical="center" wrapText="1"/>
      <protection locked="0"/>
    </xf>
    <xf numFmtId="5" fontId="2" fillId="2" borderId="12" xfId="0" applyNumberFormat="1" applyFont="1" applyFill="1" applyBorder="1" applyAlignment="1">
      <alignment horizontal="center" vertical="center"/>
    </xf>
    <xf numFmtId="5" fontId="2" fillId="2" borderId="13" xfId="0" applyNumberFormat="1" applyFont="1" applyFill="1" applyBorder="1" applyAlignment="1">
      <alignment horizontal="center" vertical="center"/>
    </xf>
    <xf numFmtId="9" fontId="2" fillId="4" borderId="14" xfId="2" applyFont="1" applyFill="1" applyBorder="1" applyAlignment="1" applyProtection="1">
      <alignment horizontal="center" vertical="center" wrapText="1"/>
      <protection locked="0"/>
    </xf>
    <xf numFmtId="9" fontId="2" fillId="4" borderId="15" xfId="2" applyFont="1" applyFill="1" applyBorder="1" applyAlignment="1" applyProtection="1">
      <alignment horizontal="center" vertical="center" wrapText="1"/>
      <protection locked="0"/>
    </xf>
    <xf numFmtId="5" fontId="2" fillId="2" borderId="14" xfId="0" applyNumberFormat="1" applyFont="1" applyFill="1" applyBorder="1" applyAlignment="1">
      <alignment horizontal="center" vertical="center"/>
    </xf>
    <xf numFmtId="5" fontId="2" fillId="2" borderId="15" xfId="0" applyNumberFormat="1" applyFont="1" applyFill="1" applyBorder="1" applyAlignment="1">
      <alignment horizontal="center" vertical="center"/>
    </xf>
    <xf numFmtId="5" fontId="0" fillId="3" borderId="0" xfId="2" applyNumberFormat="1" applyFont="1" applyFill="1"/>
    <xf numFmtId="9" fontId="0" fillId="3" borderId="0" xfId="2" applyFont="1" applyFill="1"/>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7" xfId="0" applyFont="1" applyFill="1" applyBorder="1"/>
    <xf numFmtId="0" fontId="2" fillId="2" borderId="8" xfId="0" applyFont="1" applyFill="1" applyBorder="1"/>
    <xf numFmtId="0" fontId="2" fillId="2" borderId="6" xfId="0" applyFont="1" applyFill="1" applyBorder="1"/>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0"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8" xfId="0" applyFont="1" applyFill="1" applyBorder="1" applyAlignment="1">
      <alignment horizontal="center" vertical="center"/>
    </xf>
    <xf numFmtId="5" fontId="2" fillId="4" borderId="16" xfId="0" applyNumberFormat="1" applyFont="1" applyFill="1" applyBorder="1" applyProtection="1">
      <protection locked="0"/>
    </xf>
    <xf numFmtId="5" fontId="4" fillId="2" borderId="0" xfId="0" applyNumberFormat="1" applyFont="1" applyFill="1" applyBorder="1" applyAlignment="1">
      <alignment horizontal="center" vertical="center" wrapText="1"/>
    </xf>
    <xf numFmtId="0" fontId="4" fillId="2" borderId="0" xfId="0" applyFont="1" applyFill="1" applyBorder="1" applyAlignment="1">
      <alignment vertical="center" wrapText="1"/>
    </xf>
    <xf numFmtId="0" fontId="11" fillId="2" borderId="0" xfId="0" applyFont="1" applyFill="1" applyBorder="1" applyAlignment="1">
      <alignment horizontal="center" vertical="center"/>
    </xf>
    <xf numFmtId="0" fontId="2" fillId="4" borderId="9" xfId="0" applyFont="1" applyFill="1" applyBorder="1" applyAlignment="1" applyProtection="1">
      <alignment horizontal="left"/>
      <protection locked="0"/>
    </xf>
    <xf numFmtId="0" fontId="2" fillId="4" borderId="17" xfId="0" applyFont="1" applyFill="1" applyBorder="1" applyAlignment="1" applyProtection="1">
      <alignment horizontal="left"/>
      <protection locked="0"/>
    </xf>
    <xf numFmtId="0" fontId="2" fillId="4" borderId="10" xfId="0" applyFont="1" applyFill="1" applyBorder="1" applyAlignment="1" applyProtection="1">
      <alignment horizontal="left"/>
      <protection locked="0"/>
    </xf>
    <xf numFmtId="0" fontId="2" fillId="2" borderId="18"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xf>
    <xf numFmtId="5" fontId="2" fillId="2" borderId="20" xfId="0" applyNumberFormat="1" applyFont="1" applyFill="1" applyBorder="1" applyAlignment="1">
      <alignment horizontal="center"/>
    </xf>
    <xf numFmtId="0" fontId="0" fillId="2" borderId="0" xfId="0" applyFill="1"/>
    <xf numFmtId="0" fontId="2" fillId="2" borderId="18" xfId="0" applyFont="1" applyFill="1" applyBorder="1" applyAlignment="1">
      <alignment horizontal="center"/>
    </xf>
    <xf numFmtId="0" fontId="2" fillId="2" borderId="21" xfId="0" applyFont="1" applyFill="1" applyBorder="1" applyAlignment="1">
      <alignment horizontal="center"/>
    </xf>
    <xf numFmtId="5" fontId="2" fillId="2" borderId="18" xfId="0" applyNumberFormat="1" applyFont="1" applyFill="1" applyBorder="1" applyAlignment="1">
      <alignment horizontal="center"/>
    </xf>
    <xf numFmtId="5" fontId="2" fillId="2" borderId="21" xfId="0" applyNumberFormat="1" applyFont="1" applyFill="1" applyBorder="1" applyAlignment="1">
      <alignment horizontal="center"/>
    </xf>
    <xf numFmtId="0" fontId="11" fillId="2" borderId="0" xfId="0" applyFont="1" applyFill="1" applyBorder="1" applyAlignment="1">
      <alignment horizontal="center"/>
    </xf>
    <xf numFmtId="0" fontId="2" fillId="4" borderId="9" xfId="0" applyFont="1" applyFill="1" applyBorder="1" applyAlignment="1" applyProtection="1">
      <alignment horizontal="left" vertical="center" wrapText="1"/>
      <protection locked="0"/>
    </xf>
    <xf numFmtId="0" fontId="2" fillId="4" borderId="17" xfId="0" applyFont="1" applyFill="1" applyBorder="1" applyAlignment="1" applyProtection="1">
      <alignment horizontal="left" vertical="center" wrapText="1"/>
      <protection locked="0"/>
    </xf>
    <xf numFmtId="0" fontId="2" fillId="4" borderId="10" xfId="0" applyFont="1" applyFill="1" applyBorder="1" applyAlignment="1" applyProtection="1">
      <alignment horizontal="left" vertical="center" wrapText="1"/>
      <protection locked="0"/>
    </xf>
    <xf numFmtId="0" fontId="2" fillId="2" borderId="20" xfId="0"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0" fontId="12" fillId="2" borderId="1" xfId="0" applyFont="1" applyFill="1" applyBorder="1"/>
    <xf numFmtId="0" fontId="12" fillId="2" borderId="2" xfId="0" applyFont="1" applyFill="1" applyBorder="1"/>
    <xf numFmtId="0" fontId="12" fillId="2" borderId="3" xfId="0" applyFont="1" applyFill="1" applyBorder="1"/>
    <xf numFmtId="0" fontId="12" fillId="2" borderId="4" xfId="0" applyFont="1" applyFill="1" applyBorder="1"/>
    <xf numFmtId="0" fontId="12" fillId="2" borderId="0" xfId="0" applyFont="1" applyFill="1" applyBorder="1"/>
    <xf numFmtId="0" fontId="12" fillId="2" borderId="5" xfId="0" applyFont="1" applyFill="1" applyBorder="1"/>
    <xf numFmtId="43" fontId="13" fillId="2" borderId="16" xfId="1" applyFont="1" applyFill="1" applyBorder="1" applyAlignment="1">
      <alignment horizontal="center"/>
    </xf>
    <xf numFmtId="43" fontId="13" fillId="2" borderId="22" xfId="1" applyFont="1" applyFill="1" applyBorder="1" applyAlignment="1">
      <alignment horizontal="center"/>
    </xf>
    <xf numFmtId="0" fontId="13" fillId="2" borderId="4" xfId="0" applyFont="1" applyFill="1" applyBorder="1"/>
    <xf numFmtId="10" fontId="13" fillId="4" borderId="16" xfId="2" applyNumberFormat="1" applyFont="1" applyFill="1" applyBorder="1" applyProtection="1">
      <protection locked="0"/>
    </xf>
    <xf numFmtId="10" fontId="13" fillId="4" borderId="22" xfId="2" applyNumberFormat="1" applyFont="1" applyFill="1" applyBorder="1" applyProtection="1">
      <protection locked="0"/>
    </xf>
    <xf numFmtId="5" fontId="13" fillId="2" borderId="0" xfId="0" applyNumberFormat="1" applyFont="1" applyFill="1" applyBorder="1"/>
    <xf numFmtId="5" fontId="13" fillId="2" borderId="5" xfId="0" applyNumberFormat="1" applyFont="1" applyFill="1" applyBorder="1"/>
    <xf numFmtId="0" fontId="13" fillId="2" borderId="0" xfId="0" applyFont="1" applyFill="1" applyBorder="1"/>
    <xf numFmtId="0" fontId="13" fillId="2" borderId="5" xfId="0" applyFont="1" applyFill="1" applyBorder="1"/>
    <xf numFmtId="0" fontId="13" fillId="2" borderId="6" xfId="0" applyFont="1" applyFill="1" applyBorder="1"/>
    <xf numFmtId="5" fontId="13" fillId="2" borderId="7" xfId="0" applyNumberFormat="1" applyFont="1" applyFill="1" applyBorder="1"/>
    <xf numFmtId="5" fontId="13" fillId="2" borderId="8" xfId="0" applyNumberFormat="1" applyFont="1" applyFill="1" applyBorder="1"/>
  </cellXfs>
  <cellStyles count="3">
    <cellStyle name="Comma" xfId="1" builtinId="3"/>
    <cellStyle name="Normal" xfId="0" builtinId="0"/>
    <cellStyle name="Percent" xfId="2" builtinId="5"/>
  </cellStyles>
  <dxfs count="11">
    <dxf>
      <font>
        <b/>
        <i val="0"/>
        <condense val="0"/>
        <extend val="0"/>
        <color indexed="9"/>
      </font>
      <fill>
        <patternFill>
          <bgColor indexed="18"/>
        </patternFill>
      </fill>
      <border>
        <left style="thin">
          <color indexed="12"/>
        </left>
        <right style="thin">
          <color indexed="12"/>
        </right>
        <top style="thin">
          <color indexed="12"/>
        </top>
        <bottom style="thin">
          <color indexed="12"/>
        </bottom>
      </border>
    </dxf>
    <dxf>
      <font>
        <color theme="0" tint="-4.9989318521683403E-2"/>
      </font>
      <fill>
        <patternFill>
          <bgColor theme="0" tint="-4.9989318521683403E-2"/>
        </patternFill>
      </fill>
    </dxf>
    <dxf>
      <font>
        <color theme="0" tint="-4.9989318521683403E-2"/>
      </font>
      <fill>
        <patternFill>
          <bgColor theme="0" tint="-4.9989318521683403E-2"/>
        </patternFill>
      </fill>
    </dxf>
    <dxf>
      <font>
        <b/>
        <i val="0"/>
        <color theme="1"/>
      </font>
      <fill>
        <patternFill>
          <bgColor rgb="FFFFFF00"/>
        </patternFill>
      </fill>
    </dxf>
    <dxf>
      <font>
        <color theme="0" tint="-4.9989318521683403E-2"/>
      </font>
      <fill>
        <patternFill>
          <bgColor theme="0" tint="-4.9989318521683403E-2"/>
        </patternFill>
      </fill>
    </dxf>
    <dxf>
      <fill>
        <patternFill>
          <bgColor rgb="FFFFFF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FF00"/>
        </patternFill>
      </fill>
    </dxf>
    <dxf>
      <font>
        <b/>
        <i val="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75" b="1" i="0" u="none" strike="noStrike" baseline="0">
                <a:solidFill>
                  <a:srgbClr val="000000"/>
                </a:solidFill>
                <a:latin typeface="Book Antiqua"/>
                <a:ea typeface="Book Antiqua"/>
                <a:cs typeface="Book Antiqua"/>
              </a:defRPr>
            </a:pPr>
            <a:r>
              <a:rPr lang="en-US"/>
              <a:t>Break Even Graph</a:t>
            </a:r>
          </a:p>
        </c:rich>
      </c:tx>
      <c:layout>
        <c:manualLayout>
          <c:xMode val="edge"/>
          <c:yMode val="edge"/>
          <c:x val="0.37"/>
          <c:y val="3.3419023136246784E-2"/>
        </c:manualLayout>
      </c:layout>
      <c:overlay val="0"/>
      <c:spPr>
        <a:noFill/>
        <a:ln w="25400">
          <a:noFill/>
        </a:ln>
      </c:spPr>
    </c:title>
    <c:autoTitleDeleted val="0"/>
    <c:plotArea>
      <c:layout>
        <c:manualLayout>
          <c:layoutTarget val="inner"/>
          <c:xMode val="edge"/>
          <c:yMode val="edge"/>
          <c:x val="7.6249999999999998E-2"/>
          <c:y val="0.23650385604113111"/>
          <c:w val="0.75249999999999995"/>
          <c:h val="0.60154241645244211"/>
        </c:manualLayout>
      </c:layout>
      <c:lineChart>
        <c:grouping val="standard"/>
        <c:varyColors val="0"/>
        <c:ser>
          <c:idx val="0"/>
          <c:order val="0"/>
          <c:tx>
            <c:v>Sales</c:v>
          </c:tx>
          <c:spPr>
            <a:ln w="38100">
              <a:solidFill>
                <a:srgbClr val="008000"/>
              </a:solidFill>
              <a:prstDash val="solid"/>
            </a:ln>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'[1]Seasonality impact'!$B$31:$M$31</c:f>
              <c:numCache>
                <c:formatCode>"$"#,##0_);\("$"#,##0\)</c:formatCode>
                <c:ptCount val="12"/>
                <c:pt idx="0">
                  <c:v>890354.19609695894</c:v>
                </c:pt>
                <c:pt idx="1">
                  <c:v>1655280.8477637144</c:v>
                </c:pt>
                <c:pt idx="2">
                  <c:v>2572314.2198132533</c:v>
                </c:pt>
                <c:pt idx="3">
                  <c:v>3593321.6407260094</c:v>
                </c:pt>
                <c:pt idx="4">
                  <c:v>4587622.5373525852</c:v>
                </c:pt>
                <c:pt idx="5">
                  <c:v>5638409.7565303808</c:v>
                </c:pt>
                <c:pt idx="6">
                  <c:v>6895862.9683115184</c:v>
                </c:pt>
                <c:pt idx="7">
                  <c:v>8286886.1564073535</c:v>
                </c:pt>
                <c:pt idx="8">
                  <c:v>9480892.9183278941</c:v>
                </c:pt>
                <c:pt idx="9">
                  <c:v>10732417.1311583</c:v>
                </c:pt>
                <c:pt idx="10">
                  <c:v>11590455.618008412</c:v>
                </c:pt>
                <c:pt idx="11">
                  <c:v>12581288.999999996</c:v>
                </c:pt>
              </c:numCache>
            </c:numRef>
          </c:val>
          <c:smooth val="0"/>
          <c:extLst>
            <c:ext xmlns:c16="http://schemas.microsoft.com/office/drawing/2014/chart" uri="{C3380CC4-5D6E-409C-BE32-E72D297353CC}">
              <c16:uniqueId val="{00000000-4C26-42E5-8102-8B989AD73A1F}"/>
            </c:ext>
          </c:extLst>
        </c:ser>
        <c:ser>
          <c:idx val="1"/>
          <c:order val="1"/>
          <c:tx>
            <c:v>COGS</c:v>
          </c:tx>
          <c:spPr>
            <a:ln w="38100">
              <a:solidFill>
                <a:srgbClr val="FF6600"/>
              </a:solidFill>
              <a:prstDash val="solid"/>
            </a:ln>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'[1]Seasonality impact'!$B$36:$M$36</c:f>
              <c:numCache>
                <c:formatCode>"$"#,##0_);\("$"#,##0\)</c:formatCode>
                <c:ptCount val="12"/>
                <c:pt idx="0">
                  <c:v>491877.0172047345</c:v>
                </c:pt>
                <c:pt idx="1">
                  <c:v>914461.46893373528</c:v>
                </c:pt>
                <c:pt idx="2">
                  <c:v>1421077.4221108749</c:v>
                </c:pt>
                <c:pt idx="3">
                  <c:v>1985133.9368597255</c:v>
                </c:pt>
                <c:pt idx="4">
                  <c:v>2534436.4070234238</c:v>
                </c:pt>
                <c:pt idx="5">
                  <c:v>3114944.7994719343</c:v>
                </c:pt>
                <c:pt idx="6">
                  <c:v>3809626.0148767573</c:v>
                </c:pt>
                <c:pt idx="7">
                  <c:v>4578098.0899482034</c:v>
                </c:pt>
                <c:pt idx="8">
                  <c:v>5237728.2541573718</c:v>
                </c:pt>
                <c:pt idx="9">
                  <c:v>5929133.9884877186</c:v>
                </c:pt>
                <c:pt idx="10">
                  <c:v>6403158.1615739278</c:v>
                </c:pt>
                <c:pt idx="11">
                  <c:v>6950544.9999999981</c:v>
                </c:pt>
              </c:numCache>
            </c:numRef>
          </c:val>
          <c:smooth val="0"/>
          <c:extLst>
            <c:ext xmlns:c16="http://schemas.microsoft.com/office/drawing/2014/chart" uri="{C3380CC4-5D6E-409C-BE32-E72D297353CC}">
              <c16:uniqueId val="{00000001-4C26-42E5-8102-8B989AD73A1F}"/>
            </c:ext>
          </c:extLst>
        </c:ser>
        <c:ser>
          <c:idx val="2"/>
          <c:order val="2"/>
          <c:tx>
            <c:v>Overhead</c:v>
          </c:tx>
          <c:spPr>
            <a:ln w="38100">
              <a:solidFill>
                <a:srgbClr val="800000"/>
              </a:solidFill>
              <a:prstDash val="solid"/>
            </a:ln>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'[1]Seasonality impact'!$B$37:$M$37</c:f>
              <c:numCache>
                <c:formatCode>"$"#,##0_);\("$"#,##0\)</c:formatCode>
                <c:ptCount val="12"/>
                <c:pt idx="0">
                  <c:v>2459012</c:v>
                </c:pt>
                <c:pt idx="1">
                  <c:v>2459012</c:v>
                </c:pt>
                <c:pt idx="2">
                  <c:v>2459012</c:v>
                </c:pt>
                <c:pt idx="3">
                  <c:v>2459012</c:v>
                </c:pt>
                <c:pt idx="4">
                  <c:v>2459012</c:v>
                </c:pt>
                <c:pt idx="5">
                  <c:v>2459012</c:v>
                </c:pt>
                <c:pt idx="6">
                  <c:v>2459012</c:v>
                </c:pt>
                <c:pt idx="7">
                  <c:v>2459012</c:v>
                </c:pt>
                <c:pt idx="8">
                  <c:v>2459012</c:v>
                </c:pt>
                <c:pt idx="9">
                  <c:v>2459012</c:v>
                </c:pt>
                <c:pt idx="10">
                  <c:v>2459012</c:v>
                </c:pt>
                <c:pt idx="11">
                  <c:v>2459012</c:v>
                </c:pt>
              </c:numCache>
            </c:numRef>
          </c:val>
          <c:smooth val="0"/>
          <c:extLst>
            <c:ext xmlns:c16="http://schemas.microsoft.com/office/drawing/2014/chart" uri="{C3380CC4-5D6E-409C-BE32-E72D297353CC}">
              <c16:uniqueId val="{00000002-4C26-42E5-8102-8B989AD73A1F}"/>
            </c:ext>
          </c:extLst>
        </c:ser>
        <c:ser>
          <c:idx val="3"/>
          <c:order val="3"/>
          <c:tx>
            <c:v>Break Even</c:v>
          </c:tx>
          <c:spPr>
            <a:ln w="38100">
              <a:solidFill>
                <a:srgbClr val="FF0000"/>
              </a:solidFill>
              <a:prstDash val="solid"/>
            </a:ln>
          </c:spPr>
          <c:marker>
            <c:symbol val="square"/>
            <c:size val="3"/>
            <c:spPr>
              <a:noFill/>
              <a:ln w="9525">
                <a:noFill/>
              </a:ln>
            </c:spPr>
          </c:marker>
          <c:val>
            <c:numRef>
              <c:f>'[1]Seasonality impact'!$B$38:$M$38</c:f>
              <c:numCache>
                <c:formatCode>"$"#,##0_);\("$"#,##0\)</c:formatCode>
                <c:ptCount val="12"/>
                <c:pt idx="0">
                  <c:v>2950889.0172047345</c:v>
                </c:pt>
                <c:pt idx="1">
                  <c:v>3373473.468933735</c:v>
                </c:pt>
                <c:pt idx="2">
                  <c:v>3880089.4221108751</c:v>
                </c:pt>
                <c:pt idx="3">
                  <c:v>4444145.936859725</c:v>
                </c:pt>
                <c:pt idx="4">
                  <c:v>4993448.4070234243</c:v>
                </c:pt>
                <c:pt idx="5">
                  <c:v>5573956.7994719343</c:v>
                </c:pt>
                <c:pt idx="6">
                  <c:v>6268638.0148767568</c:v>
                </c:pt>
                <c:pt idx="7">
                  <c:v>7037110.0899482034</c:v>
                </c:pt>
                <c:pt idx="8">
                  <c:v>7696740.2541573718</c:v>
                </c:pt>
                <c:pt idx="9">
                  <c:v>8388145.9884877186</c:v>
                </c:pt>
                <c:pt idx="10">
                  <c:v>8862170.1615739278</c:v>
                </c:pt>
                <c:pt idx="11">
                  <c:v>9409556.9999999981</c:v>
                </c:pt>
              </c:numCache>
            </c:numRef>
          </c:val>
          <c:smooth val="0"/>
          <c:extLst>
            <c:ext xmlns:c16="http://schemas.microsoft.com/office/drawing/2014/chart" uri="{C3380CC4-5D6E-409C-BE32-E72D297353CC}">
              <c16:uniqueId val="{00000003-4C26-42E5-8102-8B989AD73A1F}"/>
            </c:ext>
          </c:extLst>
        </c:ser>
        <c:dLbls>
          <c:showLegendKey val="0"/>
          <c:showVal val="0"/>
          <c:showCatName val="0"/>
          <c:showSerName val="0"/>
          <c:showPercent val="0"/>
          <c:showBubbleSize val="0"/>
        </c:dLbls>
        <c:smooth val="0"/>
        <c:axId val="468422488"/>
        <c:axId val="468422880"/>
      </c:lineChart>
      <c:catAx>
        <c:axId val="4684224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450" b="1" i="0" u="none" strike="noStrike" baseline="0">
                <a:solidFill>
                  <a:srgbClr val="000000"/>
                </a:solidFill>
                <a:latin typeface="Book Antiqua"/>
                <a:ea typeface="Book Antiqua"/>
                <a:cs typeface="Book Antiqua"/>
              </a:defRPr>
            </a:pPr>
            <a:endParaRPr lang="en-US"/>
          </a:p>
        </c:txPr>
        <c:crossAx val="468422880"/>
        <c:crosses val="autoZero"/>
        <c:auto val="1"/>
        <c:lblAlgn val="ctr"/>
        <c:lblOffset val="100"/>
        <c:tickLblSkip val="1"/>
        <c:tickMarkSkip val="1"/>
        <c:noMultiLvlLbl val="0"/>
      </c:catAx>
      <c:valAx>
        <c:axId val="468422880"/>
        <c:scaling>
          <c:orientation val="minMax"/>
        </c:scaling>
        <c:delete val="0"/>
        <c:axPos val="l"/>
        <c:majorGridlines>
          <c:spPr>
            <a:ln w="3175">
              <a:solidFill>
                <a:srgbClr val="000000"/>
              </a:solidFill>
              <a:prstDash val="solid"/>
            </a:ln>
          </c:spPr>
        </c:majorGridlines>
        <c:numFmt formatCode="&quot;$&quot;#,##0_);\(&quot;$&quot;#,##0\)" sourceLinked="1"/>
        <c:majorTickMark val="out"/>
        <c:minorTickMark val="none"/>
        <c:tickLblPos val="nextTo"/>
        <c:spPr>
          <a:ln w="3175">
            <a:solidFill>
              <a:srgbClr val="000000"/>
            </a:solidFill>
            <a:prstDash val="solid"/>
          </a:ln>
        </c:spPr>
        <c:txPr>
          <a:bodyPr rot="0" vert="horz"/>
          <a:lstStyle/>
          <a:p>
            <a:pPr>
              <a:defRPr sz="1450" b="1" i="0" u="none" strike="noStrike" baseline="0">
                <a:solidFill>
                  <a:srgbClr val="000000"/>
                </a:solidFill>
                <a:latin typeface="Book Antiqua"/>
                <a:ea typeface="Book Antiqua"/>
                <a:cs typeface="Book Antiqua"/>
              </a:defRPr>
            </a:pPr>
            <a:endParaRPr lang="en-US"/>
          </a:p>
        </c:txPr>
        <c:crossAx val="468422488"/>
        <c:crosses val="autoZero"/>
        <c:crossBetween val="between"/>
      </c:valAx>
      <c:spPr>
        <a:gradFill rotWithShape="0">
          <a:gsLst>
            <a:gs pos="0">
              <a:srgbClr val="FFFFFF"/>
            </a:gs>
            <a:gs pos="100000">
              <a:srgbClr val="FFFFFF">
                <a:gamma/>
                <a:shade val="74510"/>
                <a:invGamma/>
              </a:srgbClr>
            </a:gs>
          </a:gsLst>
          <a:lin ang="5400000" scaled="1"/>
        </a:gradFill>
        <a:ln w="25400">
          <a:solidFill>
            <a:srgbClr val="000000"/>
          </a:solidFill>
          <a:prstDash val="solid"/>
        </a:ln>
        <a:scene3d>
          <a:camera prst="orthographicFront"/>
          <a:lightRig rig="threePt" dir="t"/>
        </a:scene3d>
        <a:sp3d>
          <a:bevelT w="114300" prst="artDeco"/>
        </a:sp3d>
      </c:spPr>
    </c:plotArea>
    <c:legend>
      <c:legendPos val="r"/>
      <c:layout>
        <c:manualLayout>
          <c:xMode val="edge"/>
          <c:yMode val="edge"/>
          <c:x val="0.85305803969074012"/>
          <c:y val="0.59777773932104639"/>
          <c:w val="0.14500000000000002"/>
          <c:h val="0.23907455012853468"/>
        </c:manualLayout>
      </c:layout>
      <c:overlay val="0"/>
      <c:spPr>
        <a:solidFill>
          <a:srgbClr val="CCFFCC"/>
        </a:solidFill>
        <a:ln w="12700">
          <a:solidFill>
            <a:srgbClr val="000000"/>
          </a:solidFill>
          <a:prstDash val="solid"/>
        </a:ln>
      </c:spPr>
      <c:txPr>
        <a:bodyPr/>
        <a:lstStyle/>
        <a:p>
          <a:pPr>
            <a:defRPr sz="1010" b="1" i="0" u="none" strike="noStrike" baseline="0">
              <a:solidFill>
                <a:srgbClr val="000000"/>
              </a:solidFill>
              <a:latin typeface="Book Antiqua"/>
              <a:ea typeface="Book Antiqua"/>
              <a:cs typeface="Book Antiqua"/>
            </a:defRPr>
          </a:pPr>
          <a:endParaRPr lang="en-US"/>
        </a:p>
      </c:txPr>
    </c:legend>
    <c:plotVisOnly val="1"/>
    <c:dispBlanksAs val="gap"/>
    <c:showDLblsOverMax val="0"/>
  </c:chart>
  <c:spPr>
    <a:gradFill flip="none" rotWithShape="1">
      <a:gsLst>
        <a:gs pos="52200">
          <a:srgbClr val="99CCFF"/>
        </a:gs>
        <a:gs pos="0">
          <a:srgbClr val="FFFFFF"/>
        </a:gs>
        <a:gs pos="100000">
          <a:srgbClr val="FFFFFF">
            <a:gamma/>
            <a:shade val="74510"/>
            <a:invGamma/>
          </a:srgbClr>
        </a:gs>
      </a:gsLst>
      <a:path path="circle">
        <a:fillToRect l="50000" t="50000" r="50000" b="50000"/>
      </a:path>
      <a:tileRect/>
    </a:gradFill>
    <a:ln w="38100">
      <a:solidFill>
        <a:srgbClr val="008000"/>
      </a:solidFill>
      <a:prstDash val="solid"/>
    </a:ln>
    <a:scene3d>
      <a:camera prst="orthographicFront"/>
      <a:lightRig rig="threePt" dir="t"/>
    </a:scene3d>
    <a:sp3d>
      <a:bevelT w="114300" prst="artDeco"/>
    </a:sp3d>
  </c:spPr>
  <c:txPr>
    <a:bodyPr/>
    <a:lstStyle/>
    <a:p>
      <a:pPr>
        <a:defRPr sz="1450" b="1" i="0" u="none" strike="noStrike" baseline="0">
          <a:solidFill>
            <a:srgbClr val="000000"/>
          </a:solidFill>
          <a:latin typeface="Book Antiqua"/>
          <a:ea typeface="Book Antiqua"/>
          <a:cs typeface="Book Antiqua"/>
        </a:defRPr>
      </a:pPr>
      <a:endParaRPr lang="en-US"/>
    </a:p>
  </c:txPr>
  <c:printSettings>
    <c:headerFooter alignWithMargins="0"/>
    <c:pageMargins b="1" l="0.75" r="0.75" t="1" header="0.5" footer="0.5"/>
    <c:pageSetup orientation="landscape" verticalDpi="0"/>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581026</xdr:colOff>
      <xdr:row>18</xdr:row>
      <xdr:rowOff>171450</xdr:rowOff>
    </xdr:from>
    <xdr:to>
      <xdr:col>8</xdr:col>
      <xdr:colOff>590551</xdr:colOff>
      <xdr:row>33</xdr:row>
      <xdr:rowOff>128376</xdr:rowOff>
    </xdr:to>
    <xdr:pic>
      <xdr:nvPicPr>
        <xdr:cNvPr id="2" name="Picture 1">
          <a:extLst>
            <a:ext uri="{FF2B5EF4-FFF2-40B4-BE49-F238E27FC236}">
              <a16:creationId xmlns:a16="http://schemas.microsoft.com/office/drawing/2014/main" id="{70FE09EB-0752-4A5F-B887-AFFBD0C6DF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526" y="3733800"/>
          <a:ext cx="2200275" cy="2909676"/>
        </a:xfrm>
        <a:prstGeom prst="rect">
          <a:avLst/>
        </a:prstGeom>
        <a:ln w="25400">
          <a:solidFill>
            <a:srgbClr val="000000"/>
          </a:solidFill>
        </a:ln>
      </xdr:spPr>
    </xdr:pic>
    <xdr:clientData/>
  </xdr:twoCellAnchor>
  <xdr:twoCellAnchor>
    <xdr:from>
      <xdr:col>4</xdr:col>
      <xdr:colOff>628650</xdr:colOff>
      <xdr:row>20</xdr:row>
      <xdr:rowOff>47625</xdr:rowOff>
    </xdr:from>
    <xdr:to>
      <xdr:col>6</xdr:col>
      <xdr:colOff>400050</xdr:colOff>
      <xdr:row>22</xdr:row>
      <xdr:rowOff>133350</xdr:rowOff>
    </xdr:to>
    <xdr:cxnSp macro="">
      <xdr:nvCxnSpPr>
        <xdr:cNvPr id="3" name="Straight Arrow Connector 2">
          <a:extLst>
            <a:ext uri="{FF2B5EF4-FFF2-40B4-BE49-F238E27FC236}">
              <a16:creationId xmlns:a16="http://schemas.microsoft.com/office/drawing/2014/main" id="{C9D07EA0-DACB-4604-81CD-A2D19CC0EDD7}"/>
            </a:ext>
          </a:extLst>
        </xdr:cNvPr>
        <xdr:cNvCxnSpPr/>
      </xdr:nvCxnSpPr>
      <xdr:spPr>
        <a:xfrm flipV="1">
          <a:off x="3009900" y="4003675"/>
          <a:ext cx="1231900" cy="47942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628650</xdr:colOff>
      <xdr:row>21</xdr:row>
      <xdr:rowOff>0</xdr:rowOff>
    </xdr:from>
    <xdr:to>
      <xdr:col>6</xdr:col>
      <xdr:colOff>438150</xdr:colOff>
      <xdr:row>22</xdr:row>
      <xdr:rowOff>161925</xdr:rowOff>
    </xdr:to>
    <xdr:cxnSp macro="">
      <xdr:nvCxnSpPr>
        <xdr:cNvPr id="4" name="Straight Arrow Connector 3">
          <a:extLst>
            <a:ext uri="{FF2B5EF4-FFF2-40B4-BE49-F238E27FC236}">
              <a16:creationId xmlns:a16="http://schemas.microsoft.com/office/drawing/2014/main" id="{D79588F8-3ABE-4264-A4C0-BF4A216E5FB1}"/>
            </a:ext>
          </a:extLst>
        </xdr:cNvPr>
        <xdr:cNvCxnSpPr/>
      </xdr:nvCxnSpPr>
      <xdr:spPr>
        <a:xfrm flipV="1">
          <a:off x="3009900" y="4152900"/>
          <a:ext cx="1270000" cy="35877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647700</xdr:colOff>
      <xdr:row>22</xdr:row>
      <xdr:rowOff>85725</xdr:rowOff>
    </xdr:from>
    <xdr:to>
      <xdr:col>6</xdr:col>
      <xdr:colOff>400050</xdr:colOff>
      <xdr:row>22</xdr:row>
      <xdr:rowOff>171450</xdr:rowOff>
    </xdr:to>
    <xdr:cxnSp macro="">
      <xdr:nvCxnSpPr>
        <xdr:cNvPr id="5" name="Straight Arrow Connector 4">
          <a:extLst>
            <a:ext uri="{FF2B5EF4-FFF2-40B4-BE49-F238E27FC236}">
              <a16:creationId xmlns:a16="http://schemas.microsoft.com/office/drawing/2014/main" id="{838C345D-83CA-4A2F-A476-3F71B21F1031}"/>
            </a:ext>
          </a:extLst>
        </xdr:cNvPr>
        <xdr:cNvCxnSpPr/>
      </xdr:nvCxnSpPr>
      <xdr:spPr>
        <a:xfrm flipV="1">
          <a:off x="3028950" y="4435475"/>
          <a:ext cx="1212850" cy="8572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666750</xdr:colOff>
      <xdr:row>23</xdr:row>
      <xdr:rowOff>161925</xdr:rowOff>
    </xdr:from>
    <xdr:to>
      <xdr:col>6</xdr:col>
      <xdr:colOff>419100</xdr:colOff>
      <xdr:row>25</xdr:row>
      <xdr:rowOff>190500</xdr:rowOff>
    </xdr:to>
    <xdr:cxnSp macro="">
      <xdr:nvCxnSpPr>
        <xdr:cNvPr id="6" name="Straight Arrow Connector 5">
          <a:extLst>
            <a:ext uri="{FF2B5EF4-FFF2-40B4-BE49-F238E27FC236}">
              <a16:creationId xmlns:a16="http://schemas.microsoft.com/office/drawing/2014/main" id="{D0A92225-A70C-48FD-A128-5D782E02BF4F}"/>
            </a:ext>
          </a:extLst>
        </xdr:cNvPr>
        <xdr:cNvCxnSpPr/>
      </xdr:nvCxnSpPr>
      <xdr:spPr>
        <a:xfrm flipV="1">
          <a:off x="1587500" y="4708525"/>
          <a:ext cx="2673350" cy="42227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666750</xdr:colOff>
      <xdr:row>25</xdr:row>
      <xdr:rowOff>9525</xdr:rowOff>
    </xdr:from>
    <xdr:to>
      <xdr:col>5</xdr:col>
      <xdr:colOff>581025</xdr:colOff>
      <xdr:row>26</xdr:row>
      <xdr:rowOff>9525</xdr:rowOff>
    </xdr:to>
    <xdr:cxnSp macro="">
      <xdr:nvCxnSpPr>
        <xdr:cNvPr id="7" name="Straight Arrow Connector 6">
          <a:extLst>
            <a:ext uri="{FF2B5EF4-FFF2-40B4-BE49-F238E27FC236}">
              <a16:creationId xmlns:a16="http://schemas.microsoft.com/office/drawing/2014/main" id="{12B18BEE-0C5F-4379-8E9D-29B70639EEB8}"/>
            </a:ext>
          </a:extLst>
        </xdr:cNvPr>
        <xdr:cNvCxnSpPr/>
      </xdr:nvCxnSpPr>
      <xdr:spPr>
        <a:xfrm flipV="1">
          <a:off x="3048000" y="4949825"/>
          <a:ext cx="644525" cy="19685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371475</xdr:colOff>
      <xdr:row>24</xdr:row>
      <xdr:rowOff>57150</xdr:rowOff>
    </xdr:from>
    <xdr:to>
      <xdr:col>8</xdr:col>
      <xdr:colOff>342900</xdr:colOff>
      <xdr:row>27</xdr:row>
      <xdr:rowOff>152400</xdr:rowOff>
    </xdr:to>
    <xdr:cxnSp macro="">
      <xdr:nvCxnSpPr>
        <xdr:cNvPr id="8" name="Straight Arrow Connector 7">
          <a:extLst>
            <a:ext uri="{FF2B5EF4-FFF2-40B4-BE49-F238E27FC236}">
              <a16:creationId xmlns:a16="http://schemas.microsoft.com/office/drawing/2014/main" id="{007CB11B-4296-4EB3-9F21-F358BD350F9D}"/>
            </a:ext>
          </a:extLst>
        </xdr:cNvPr>
        <xdr:cNvCxnSpPr/>
      </xdr:nvCxnSpPr>
      <xdr:spPr>
        <a:xfrm flipV="1">
          <a:off x="3482975" y="4800600"/>
          <a:ext cx="2162175" cy="68580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171450</xdr:colOff>
      <xdr:row>27</xdr:row>
      <xdr:rowOff>142875</xdr:rowOff>
    </xdr:from>
    <xdr:to>
      <xdr:col>6</xdr:col>
      <xdr:colOff>409575</xdr:colOff>
      <xdr:row>30</xdr:row>
      <xdr:rowOff>95250</xdr:rowOff>
    </xdr:to>
    <xdr:cxnSp macro="">
      <xdr:nvCxnSpPr>
        <xdr:cNvPr id="9" name="Straight Arrow Connector 8">
          <a:extLst>
            <a:ext uri="{FF2B5EF4-FFF2-40B4-BE49-F238E27FC236}">
              <a16:creationId xmlns:a16="http://schemas.microsoft.com/office/drawing/2014/main" id="{9E050585-10A4-43B9-ABD2-C505CAADBB0E}"/>
            </a:ext>
          </a:extLst>
        </xdr:cNvPr>
        <xdr:cNvCxnSpPr/>
      </xdr:nvCxnSpPr>
      <xdr:spPr>
        <a:xfrm flipV="1">
          <a:off x="3282950" y="5476875"/>
          <a:ext cx="968375" cy="54292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200025</xdr:colOff>
      <xdr:row>28</xdr:row>
      <xdr:rowOff>114300</xdr:rowOff>
    </xdr:from>
    <xdr:to>
      <xdr:col>6</xdr:col>
      <xdr:colOff>390525</xdr:colOff>
      <xdr:row>30</xdr:row>
      <xdr:rowOff>133350</xdr:rowOff>
    </xdr:to>
    <xdr:cxnSp macro="">
      <xdr:nvCxnSpPr>
        <xdr:cNvPr id="10" name="Straight Arrow Connector 9">
          <a:extLst>
            <a:ext uri="{FF2B5EF4-FFF2-40B4-BE49-F238E27FC236}">
              <a16:creationId xmlns:a16="http://schemas.microsoft.com/office/drawing/2014/main" id="{ABC09994-BF72-497B-A67D-31B08F92E0CB}"/>
            </a:ext>
          </a:extLst>
        </xdr:cNvPr>
        <xdr:cNvCxnSpPr/>
      </xdr:nvCxnSpPr>
      <xdr:spPr>
        <a:xfrm flipV="1">
          <a:off x="3311525" y="5645150"/>
          <a:ext cx="920750" cy="41275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200025</xdr:colOff>
      <xdr:row>29</xdr:row>
      <xdr:rowOff>38100</xdr:rowOff>
    </xdr:from>
    <xdr:to>
      <xdr:col>6</xdr:col>
      <xdr:colOff>409575</xdr:colOff>
      <xdr:row>30</xdr:row>
      <xdr:rowOff>133350</xdr:rowOff>
    </xdr:to>
    <xdr:cxnSp macro="">
      <xdr:nvCxnSpPr>
        <xdr:cNvPr id="11" name="Straight Arrow Connector 10">
          <a:extLst>
            <a:ext uri="{FF2B5EF4-FFF2-40B4-BE49-F238E27FC236}">
              <a16:creationId xmlns:a16="http://schemas.microsoft.com/office/drawing/2014/main" id="{9B045747-7140-45E7-AF33-9FC8C2DB9FA8}"/>
            </a:ext>
          </a:extLst>
        </xdr:cNvPr>
        <xdr:cNvCxnSpPr/>
      </xdr:nvCxnSpPr>
      <xdr:spPr>
        <a:xfrm flipV="1">
          <a:off x="3311525" y="5765800"/>
          <a:ext cx="939800" cy="29210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180975</xdr:colOff>
      <xdr:row>30</xdr:row>
      <xdr:rowOff>47625</xdr:rowOff>
    </xdr:from>
    <xdr:to>
      <xdr:col>6</xdr:col>
      <xdr:colOff>400050</xdr:colOff>
      <xdr:row>30</xdr:row>
      <xdr:rowOff>152400</xdr:rowOff>
    </xdr:to>
    <xdr:cxnSp macro="">
      <xdr:nvCxnSpPr>
        <xdr:cNvPr id="12" name="Straight Arrow Connector 11">
          <a:extLst>
            <a:ext uri="{FF2B5EF4-FFF2-40B4-BE49-F238E27FC236}">
              <a16:creationId xmlns:a16="http://schemas.microsoft.com/office/drawing/2014/main" id="{6ACC3BD5-E194-41D4-AD74-4BC13981AEF9}"/>
            </a:ext>
          </a:extLst>
        </xdr:cNvPr>
        <xdr:cNvCxnSpPr/>
      </xdr:nvCxnSpPr>
      <xdr:spPr>
        <a:xfrm flipV="1">
          <a:off x="3292475" y="5972175"/>
          <a:ext cx="949325" cy="10477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419100</xdr:colOff>
      <xdr:row>33</xdr:row>
      <xdr:rowOff>66675</xdr:rowOff>
    </xdr:from>
    <xdr:to>
      <xdr:col>5</xdr:col>
      <xdr:colOff>514350</xdr:colOff>
      <xdr:row>33</xdr:row>
      <xdr:rowOff>76200</xdr:rowOff>
    </xdr:to>
    <xdr:cxnSp macro="">
      <xdr:nvCxnSpPr>
        <xdr:cNvPr id="13" name="Straight Arrow Connector 12">
          <a:extLst>
            <a:ext uri="{FF2B5EF4-FFF2-40B4-BE49-F238E27FC236}">
              <a16:creationId xmlns:a16="http://schemas.microsoft.com/office/drawing/2014/main" id="{D56E4577-2141-4CBC-8FB4-B7A5428BE96A}"/>
            </a:ext>
          </a:extLst>
        </xdr:cNvPr>
        <xdr:cNvCxnSpPr/>
      </xdr:nvCxnSpPr>
      <xdr:spPr>
        <a:xfrm flipV="1">
          <a:off x="2800350" y="6581775"/>
          <a:ext cx="825500" cy="952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6</xdr:col>
      <xdr:colOff>0</xdr:colOff>
      <xdr:row>38</xdr:row>
      <xdr:rowOff>0</xdr:rowOff>
    </xdr:from>
    <xdr:to>
      <xdr:col>8</xdr:col>
      <xdr:colOff>657225</xdr:colOff>
      <xdr:row>52</xdr:row>
      <xdr:rowOff>10665</xdr:rowOff>
    </xdr:to>
    <xdr:pic>
      <xdr:nvPicPr>
        <xdr:cNvPr id="14" name="Picture 13">
          <a:extLst>
            <a:ext uri="{FF2B5EF4-FFF2-40B4-BE49-F238E27FC236}">
              <a16:creationId xmlns:a16="http://schemas.microsoft.com/office/drawing/2014/main" id="{C4123FB5-1578-48A6-B24A-484BEA1DB7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41750" y="7512050"/>
          <a:ext cx="2117725" cy="2766565"/>
        </a:xfrm>
        <a:prstGeom prst="rect">
          <a:avLst/>
        </a:prstGeom>
        <a:ln w="25400">
          <a:solidFill>
            <a:schemeClr val="dk1"/>
          </a:solidFill>
        </a:ln>
      </xdr:spPr>
    </xdr:pic>
    <xdr:clientData/>
  </xdr:twoCellAnchor>
  <xdr:twoCellAnchor>
    <xdr:from>
      <xdr:col>5</xdr:col>
      <xdr:colOff>361950</xdr:colOff>
      <xdr:row>40</xdr:row>
      <xdr:rowOff>152400</xdr:rowOff>
    </xdr:from>
    <xdr:to>
      <xdr:col>6</xdr:col>
      <xdr:colOff>476250</xdr:colOff>
      <xdr:row>40</xdr:row>
      <xdr:rowOff>152400</xdr:rowOff>
    </xdr:to>
    <xdr:cxnSp macro="">
      <xdr:nvCxnSpPr>
        <xdr:cNvPr id="15" name="Straight Arrow Connector 14">
          <a:extLst>
            <a:ext uri="{FF2B5EF4-FFF2-40B4-BE49-F238E27FC236}">
              <a16:creationId xmlns:a16="http://schemas.microsoft.com/office/drawing/2014/main" id="{CD2719FC-E058-4543-9D84-9636B01F41F9}"/>
            </a:ext>
          </a:extLst>
        </xdr:cNvPr>
        <xdr:cNvCxnSpPr/>
      </xdr:nvCxnSpPr>
      <xdr:spPr>
        <a:xfrm>
          <a:off x="3473450" y="8058150"/>
          <a:ext cx="844550" cy="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361950</xdr:colOff>
      <xdr:row>40</xdr:row>
      <xdr:rowOff>152400</xdr:rowOff>
    </xdr:from>
    <xdr:to>
      <xdr:col>7</xdr:col>
      <xdr:colOff>19050</xdr:colOff>
      <xdr:row>45</xdr:row>
      <xdr:rowOff>9525</xdr:rowOff>
    </xdr:to>
    <xdr:cxnSp macro="">
      <xdr:nvCxnSpPr>
        <xdr:cNvPr id="16" name="Straight Arrow Connector 15">
          <a:extLst>
            <a:ext uri="{FF2B5EF4-FFF2-40B4-BE49-F238E27FC236}">
              <a16:creationId xmlns:a16="http://schemas.microsoft.com/office/drawing/2014/main" id="{17E41917-0C53-4BC6-AD64-3B4F68DF1590}"/>
            </a:ext>
          </a:extLst>
        </xdr:cNvPr>
        <xdr:cNvCxnSpPr/>
      </xdr:nvCxnSpPr>
      <xdr:spPr>
        <a:xfrm>
          <a:off x="3473450" y="8058150"/>
          <a:ext cx="1117600" cy="84137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381000</xdr:colOff>
      <xdr:row>47</xdr:row>
      <xdr:rowOff>66675</xdr:rowOff>
    </xdr:from>
    <xdr:to>
      <xdr:col>6</xdr:col>
      <xdr:colOff>571500</xdr:colOff>
      <xdr:row>48</xdr:row>
      <xdr:rowOff>19050</xdr:rowOff>
    </xdr:to>
    <xdr:cxnSp macro="">
      <xdr:nvCxnSpPr>
        <xdr:cNvPr id="17" name="Straight Arrow Connector 16">
          <a:extLst>
            <a:ext uri="{FF2B5EF4-FFF2-40B4-BE49-F238E27FC236}">
              <a16:creationId xmlns:a16="http://schemas.microsoft.com/office/drawing/2014/main" id="{09B205A8-5BC8-4AA7-827D-CB2C2D9A04C9}"/>
            </a:ext>
          </a:extLst>
        </xdr:cNvPr>
        <xdr:cNvCxnSpPr/>
      </xdr:nvCxnSpPr>
      <xdr:spPr>
        <a:xfrm>
          <a:off x="3492500" y="9350375"/>
          <a:ext cx="920750" cy="14922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381000</xdr:colOff>
      <xdr:row>47</xdr:row>
      <xdr:rowOff>66675</xdr:rowOff>
    </xdr:from>
    <xdr:to>
      <xdr:col>6</xdr:col>
      <xdr:colOff>571500</xdr:colOff>
      <xdr:row>49</xdr:row>
      <xdr:rowOff>47625</xdr:rowOff>
    </xdr:to>
    <xdr:cxnSp macro="">
      <xdr:nvCxnSpPr>
        <xdr:cNvPr id="18" name="Straight Arrow Connector 17">
          <a:extLst>
            <a:ext uri="{FF2B5EF4-FFF2-40B4-BE49-F238E27FC236}">
              <a16:creationId xmlns:a16="http://schemas.microsoft.com/office/drawing/2014/main" id="{B3CEB4D3-6028-4E55-8C07-A259B0CE2F44}"/>
            </a:ext>
          </a:extLst>
        </xdr:cNvPr>
        <xdr:cNvCxnSpPr/>
      </xdr:nvCxnSpPr>
      <xdr:spPr>
        <a:xfrm>
          <a:off x="3492500" y="9350375"/>
          <a:ext cx="920750" cy="37465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409575</xdr:colOff>
      <xdr:row>50</xdr:row>
      <xdr:rowOff>114300</xdr:rowOff>
    </xdr:from>
    <xdr:to>
      <xdr:col>6</xdr:col>
      <xdr:colOff>561975</xdr:colOff>
      <xdr:row>51</xdr:row>
      <xdr:rowOff>9525</xdr:rowOff>
    </xdr:to>
    <xdr:cxnSp macro="">
      <xdr:nvCxnSpPr>
        <xdr:cNvPr id="19" name="Straight Arrow Connector 18">
          <a:extLst>
            <a:ext uri="{FF2B5EF4-FFF2-40B4-BE49-F238E27FC236}">
              <a16:creationId xmlns:a16="http://schemas.microsoft.com/office/drawing/2014/main" id="{9753995E-8A14-4A75-96B0-A98DB5B97621}"/>
            </a:ext>
          </a:extLst>
        </xdr:cNvPr>
        <xdr:cNvCxnSpPr/>
      </xdr:nvCxnSpPr>
      <xdr:spPr>
        <a:xfrm>
          <a:off x="3521075" y="9988550"/>
          <a:ext cx="882650" cy="9207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1</xdr:col>
      <xdr:colOff>0</xdr:colOff>
      <xdr:row>60</xdr:row>
      <xdr:rowOff>0</xdr:rowOff>
    </xdr:from>
    <xdr:to>
      <xdr:col>9</xdr:col>
      <xdr:colOff>8654</xdr:colOff>
      <xdr:row>80</xdr:row>
      <xdr:rowOff>38100</xdr:rowOff>
    </xdr:to>
    <xdr:pic>
      <xdr:nvPicPr>
        <xdr:cNvPr id="20" name="Picture 19">
          <a:extLst>
            <a:ext uri="{FF2B5EF4-FFF2-40B4-BE49-F238E27FC236}">
              <a16:creationId xmlns:a16="http://schemas.microsoft.com/office/drawing/2014/main" id="{321BC5F5-6C89-4173-9ECB-B9B5520BF3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0500" y="11855450"/>
          <a:ext cx="5850654" cy="3975100"/>
        </a:xfrm>
        <a:prstGeom prst="rect">
          <a:avLst/>
        </a:prstGeom>
        <a:ln w="25400">
          <a:solidFill>
            <a:schemeClr val="tx1"/>
          </a:solidFill>
        </a:ln>
      </xdr:spPr>
    </xdr:pic>
    <xdr:clientData/>
  </xdr:twoCellAnchor>
  <xdr:twoCellAnchor>
    <xdr:from>
      <xdr:col>1</xdr:col>
      <xdr:colOff>333375</xdr:colOff>
      <xdr:row>74</xdr:row>
      <xdr:rowOff>57150</xdr:rowOff>
    </xdr:from>
    <xdr:to>
      <xdr:col>3</xdr:col>
      <xdr:colOff>47625</xdr:colOff>
      <xdr:row>81</xdr:row>
      <xdr:rowOff>0</xdr:rowOff>
    </xdr:to>
    <xdr:cxnSp macro="">
      <xdr:nvCxnSpPr>
        <xdr:cNvPr id="21" name="Straight Arrow Connector 20">
          <a:extLst>
            <a:ext uri="{FF2B5EF4-FFF2-40B4-BE49-F238E27FC236}">
              <a16:creationId xmlns:a16="http://schemas.microsoft.com/office/drawing/2014/main" id="{E535F504-5DF3-431D-BED4-E54027BFAEAD}"/>
            </a:ext>
          </a:extLst>
        </xdr:cNvPr>
        <xdr:cNvCxnSpPr/>
      </xdr:nvCxnSpPr>
      <xdr:spPr>
        <a:xfrm flipV="1">
          <a:off x="523875" y="14668500"/>
          <a:ext cx="1174750" cy="132080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476250</xdr:colOff>
      <xdr:row>4</xdr:row>
      <xdr:rowOff>24955</xdr:rowOff>
    </xdr:from>
    <xdr:to>
      <xdr:col>8</xdr:col>
      <xdr:colOff>666750</xdr:colOff>
      <xdr:row>11</xdr:row>
      <xdr:rowOff>95250</xdr:rowOff>
    </xdr:to>
    <xdr:pic>
      <xdr:nvPicPr>
        <xdr:cNvPr id="2" name="Picture 1">
          <a:extLst>
            <a:ext uri="{FF2B5EF4-FFF2-40B4-BE49-F238E27FC236}">
              <a16:creationId xmlns:a16="http://schemas.microsoft.com/office/drawing/2014/main" id="{61CD9E04-64F6-4D6C-BBC8-342B18BD23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18000" y="825055"/>
          <a:ext cx="1651000" cy="14482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57150</xdr:colOff>
      <xdr:row>9</xdr:row>
      <xdr:rowOff>0</xdr:rowOff>
    </xdr:from>
    <xdr:to>
      <xdr:col>9</xdr:col>
      <xdr:colOff>53228</xdr:colOff>
      <xdr:row>15</xdr:row>
      <xdr:rowOff>57150</xdr:rowOff>
    </xdr:to>
    <xdr:pic>
      <xdr:nvPicPr>
        <xdr:cNvPr id="2" name="Picture 1">
          <a:extLst>
            <a:ext uri="{FF2B5EF4-FFF2-40B4-BE49-F238E27FC236}">
              <a16:creationId xmlns:a16="http://schemas.microsoft.com/office/drawing/2014/main" id="{8EB1EC4C-28D7-4291-ABC9-9DA25254E1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29150" y="1778000"/>
          <a:ext cx="1456578" cy="1238250"/>
        </a:xfrm>
        <a:prstGeom prst="rect">
          <a:avLst/>
        </a:prstGeom>
      </xdr:spPr>
    </xdr:pic>
    <xdr:clientData/>
  </xdr:twoCellAnchor>
  <xdr:twoCellAnchor editAs="oneCell">
    <xdr:from>
      <xdr:col>7</xdr:col>
      <xdr:colOff>0</xdr:colOff>
      <xdr:row>21</xdr:row>
      <xdr:rowOff>0</xdr:rowOff>
    </xdr:from>
    <xdr:to>
      <xdr:col>9</xdr:col>
      <xdr:colOff>161728</xdr:colOff>
      <xdr:row>26</xdr:row>
      <xdr:rowOff>28575</xdr:rowOff>
    </xdr:to>
    <xdr:pic>
      <xdr:nvPicPr>
        <xdr:cNvPr id="3" name="Picture 2">
          <a:extLst>
            <a:ext uri="{FF2B5EF4-FFF2-40B4-BE49-F238E27FC236}">
              <a16:creationId xmlns:a16="http://schemas.microsoft.com/office/drawing/2014/main" id="{0A2CBCFD-A2FE-4936-995F-69F622E0E8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2000" y="4140200"/>
          <a:ext cx="1622228" cy="1012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495300</xdr:colOff>
      <xdr:row>3</xdr:row>
      <xdr:rowOff>0</xdr:rowOff>
    </xdr:from>
    <xdr:to>
      <xdr:col>12</xdr:col>
      <xdr:colOff>152400</xdr:colOff>
      <xdr:row>25</xdr:row>
      <xdr:rowOff>142875</xdr:rowOff>
    </xdr:to>
    <xdr:graphicFrame macro="">
      <xdr:nvGraphicFramePr>
        <xdr:cNvPr id="2" name="Chart 1">
          <a:extLst>
            <a:ext uri="{FF2B5EF4-FFF2-40B4-BE49-F238E27FC236}">
              <a16:creationId xmlns:a16="http://schemas.microsoft.com/office/drawing/2014/main" id="{91E1EFE8-A62E-4E46-BBEF-8A2CF6C8F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orkforce%20Solutions\HCMM\New%20Client\Rich's%20Files\BE%20To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E Tool"/>
      <sheetName val="Detailed What if"/>
      <sheetName val="Seasonality impact"/>
    </sheetNames>
    <sheetDataSet>
      <sheetData sheetId="0"/>
      <sheetData sheetId="1">
        <row r="8">
          <cell r="D8">
            <v>12581289</v>
          </cell>
        </row>
        <row r="10">
          <cell r="D10">
            <v>6950545</v>
          </cell>
        </row>
        <row r="12">
          <cell r="F12">
            <v>0.44754905479080881</v>
          </cell>
        </row>
        <row r="14">
          <cell r="D14">
            <v>2459012</v>
          </cell>
        </row>
        <row r="18">
          <cell r="D18">
            <v>5494396.5888820374</v>
          </cell>
        </row>
        <row r="28">
          <cell r="G28">
            <v>0</v>
          </cell>
        </row>
        <row r="30">
          <cell r="G30">
            <v>0</v>
          </cell>
        </row>
        <row r="32">
          <cell r="G32">
            <v>0</v>
          </cell>
        </row>
        <row r="34">
          <cell r="G34">
            <v>0</v>
          </cell>
        </row>
      </sheetData>
      <sheetData sheetId="2"/>
      <sheetData sheetId="3">
        <row r="29">
          <cell r="B29">
            <v>7.0768122097581487E-2</v>
          </cell>
          <cell r="C29">
            <v>6.0798750562581896E-2</v>
          </cell>
          <cell r="D29">
            <v>7.2888666022180942E-2</v>
          </cell>
          <cell r="E29">
            <v>8.1152846970827544E-2</v>
          </cell>
          <cell r="F29">
            <v>7.9030129315571407E-2</v>
          </cell>
          <cell r="G29">
            <v>8.3519838005294639E-2</v>
          </cell>
          <cell r="H29">
            <v>9.9946294197767654E-2</v>
          </cell>
          <cell r="I29">
            <v>0.110562851556453</v>
          </cell>
          <cell r="J29">
            <v>9.4903372931067792E-2</v>
          </cell>
          <cell r="K29">
            <v>9.9475038911387051E-2</v>
          </cell>
          <cell r="L29">
            <v>6.8199568967067969E-2</v>
          </cell>
          <cell r="M29">
            <v>7.8754520462218508E-2</v>
          </cell>
        </row>
        <row r="31">
          <cell r="B31">
            <v>890354.19609695894</v>
          </cell>
          <cell r="C31">
            <v>1655280.8477637144</v>
          </cell>
          <cell r="D31">
            <v>2572314.2198132533</v>
          </cell>
          <cell r="E31">
            <v>3593321.6407260094</v>
          </cell>
          <cell r="F31">
            <v>4587622.5373525852</v>
          </cell>
          <cell r="G31">
            <v>5638409.7565303808</v>
          </cell>
          <cell r="H31">
            <v>6895862.9683115184</v>
          </cell>
          <cell r="I31">
            <v>8286886.1564073535</v>
          </cell>
          <cell r="J31">
            <v>9480892.9183278941</v>
          </cell>
          <cell r="K31">
            <v>10732417.1311583</v>
          </cell>
          <cell r="L31">
            <v>11590455.618008412</v>
          </cell>
          <cell r="M31">
            <v>12581288.999999996</v>
          </cell>
        </row>
        <row r="36">
          <cell r="B36">
            <v>491877.0172047345</v>
          </cell>
          <cell r="C36">
            <v>914461.46893373528</v>
          </cell>
          <cell r="D36">
            <v>1421077.4221108749</v>
          </cell>
          <cell r="E36">
            <v>1985133.9368597255</v>
          </cell>
          <cell r="F36">
            <v>2534436.4070234238</v>
          </cell>
          <cell r="G36">
            <v>3114944.7994719343</v>
          </cell>
          <cell r="H36">
            <v>3809626.0148767573</v>
          </cell>
          <cell r="I36">
            <v>4578098.0899482034</v>
          </cell>
          <cell r="J36">
            <v>5237728.2541573718</v>
          </cell>
          <cell r="K36">
            <v>5929133.9884877186</v>
          </cell>
          <cell r="L36">
            <v>6403158.1615739278</v>
          </cell>
          <cell r="M36">
            <v>6950544.9999999981</v>
          </cell>
        </row>
        <row r="37">
          <cell r="B37">
            <v>2459012</v>
          </cell>
          <cell r="C37">
            <v>2459012</v>
          </cell>
          <cell r="D37">
            <v>2459012</v>
          </cell>
          <cell r="E37">
            <v>2459012</v>
          </cell>
          <cell r="F37">
            <v>2459012</v>
          </cell>
          <cell r="G37">
            <v>2459012</v>
          </cell>
          <cell r="H37">
            <v>2459012</v>
          </cell>
          <cell r="I37">
            <v>2459012</v>
          </cell>
          <cell r="J37">
            <v>2459012</v>
          </cell>
          <cell r="K37">
            <v>2459012</v>
          </cell>
          <cell r="L37">
            <v>2459012</v>
          </cell>
          <cell r="M37">
            <v>2459012</v>
          </cell>
        </row>
        <row r="38">
          <cell r="B38">
            <v>2950889.0172047345</v>
          </cell>
          <cell r="C38">
            <v>3373473.468933735</v>
          </cell>
          <cell r="D38">
            <v>3880089.4221108751</v>
          </cell>
          <cell r="E38">
            <v>4444145.936859725</v>
          </cell>
          <cell r="F38">
            <v>4993448.4070234243</v>
          </cell>
          <cell r="G38">
            <v>5573956.7994719343</v>
          </cell>
          <cell r="H38">
            <v>6268638.0148767568</v>
          </cell>
          <cell r="I38">
            <v>7037110.0899482034</v>
          </cell>
          <cell r="J38">
            <v>7696740.2541573718</v>
          </cell>
          <cell r="K38">
            <v>8388145.9884877186</v>
          </cell>
          <cell r="L38">
            <v>8862170.1615739278</v>
          </cell>
          <cell r="M38">
            <v>9409556.9999999981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7B2A-E53F-4162-BC23-75CD2FEE10B0}">
  <dimension ref="A1:CP206"/>
  <sheetViews>
    <sheetView workbookViewId="0">
      <selection sqref="A1:XFD1048576"/>
    </sheetView>
  </sheetViews>
  <sheetFormatPr defaultRowHeight="14.5" x14ac:dyDescent="0.35"/>
  <cols>
    <col min="1" max="1" width="2.7265625" customWidth="1"/>
    <col min="2" max="9" width="10.453125" customWidth="1"/>
    <col min="10" max="10" width="2.7265625" customWidth="1"/>
    <col min="11" max="94" width="8.7265625" style="7"/>
  </cols>
  <sheetData>
    <row r="1" spans="1:10" ht="15.5" x14ac:dyDescent="0.35">
      <c r="A1" s="1"/>
      <c r="B1" s="2"/>
      <c r="C1" s="2"/>
      <c r="D1" s="2"/>
      <c r="E1" s="2"/>
      <c r="F1" s="73" t="s">
        <v>21</v>
      </c>
      <c r="G1" s="74"/>
      <c r="H1" s="74"/>
      <c r="I1" s="75"/>
      <c r="J1" s="6"/>
    </row>
    <row r="2" spans="1:10" ht="15.5" x14ac:dyDescent="0.35">
      <c r="A2" s="8"/>
      <c r="B2" s="9"/>
      <c r="C2" s="9"/>
      <c r="D2" s="9"/>
      <c r="E2" s="9"/>
      <c r="F2" s="76"/>
      <c r="G2" s="77"/>
      <c r="H2" s="77"/>
      <c r="I2" s="78"/>
      <c r="J2" s="13"/>
    </row>
    <row r="3" spans="1:10" ht="16" thickBot="1" x14ac:dyDescent="0.4">
      <c r="A3" s="8"/>
      <c r="B3" s="9"/>
      <c r="C3" s="9"/>
      <c r="D3" s="9"/>
      <c r="E3" s="9"/>
      <c r="F3" s="79"/>
      <c r="G3" s="80"/>
      <c r="H3" s="80"/>
      <c r="I3" s="81"/>
      <c r="J3" s="13"/>
    </row>
    <row r="4" spans="1:10" ht="15.5" x14ac:dyDescent="0.35">
      <c r="A4" s="8"/>
      <c r="B4" s="9"/>
      <c r="C4" s="9"/>
      <c r="D4" s="9"/>
      <c r="E4" s="9"/>
      <c r="F4" s="9"/>
      <c r="G4" s="9"/>
      <c r="H4" s="9"/>
      <c r="I4" s="9"/>
      <c r="J4" s="13"/>
    </row>
    <row r="5" spans="1:10" ht="15.5" x14ac:dyDescent="0.35">
      <c r="A5" s="8"/>
      <c r="B5" s="9" t="s">
        <v>22</v>
      </c>
      <c r="C5" s="9"/>
      <c r="D5" s="9"/>
      <c r="E5" s="9"/>
      <c r="F5" s="9"/>
      <c r="G5" s="9"/>
      <c r="H5" s="9"/>
      <c r="I5" s="9"/>
      <c r="J5" s="13"/>
    </row>
    <row r="6" spans="1:10" ht="15.5" x14ac:dyDescent="0.35">
      <c r="A6" s="8"/>
      <c r="B6" s="9" t="s">
        <v>23</v>
      </c>
      <c r="C6" s="9"/>
      <c r="D6" s="9"/>
      <c r="E6" s="9"/>
      <c r="F6" s="9"/>
      <c r="G6" s="9"/>
      <c r="H6" s="9"/>
      <c r="I6" s="9"/>
      <c r="J6" s="13"/>
    </row>
    <row r="7" spans="1:10" ht="15.5" x14ac:dyDescent="0.35">
      <c r="A7" s="8"/>
      <c r="B7" s="9" t="s">
        <v>24</v>
      </c>
      <c r="C7" s="9"/>
      <c r="D7" s="9"/>
      <c r="E7" s="9"/>
      <c r="F7" s="9"/>
      <c r="G7" s="9"/>
      <c r="H7" s="9"/>
      <c r="I7" s="9"/>
      <c r="J7" s="13"/>
    </row>
    <row r="8" spans="1:10" ht="15.5" x14ac:dyDescent="0.35">
      <c r="A8" s="8"/>
      <c r="B8" s="9" t="s">
        <v>25</v>
      </c>
      <c r="C8" s="9"/>
      <c r="D8" s="9"/>
      <c r="E8" s="9"/>
      <c r="F8" s="9"/>
      <c r="G8" s="9"/>
      <c r="H8" s="9"/>
      <c r="I8" s="9"/>
      <c r="J8" s="13"/>
    </row>
    <row r="9" spans="1:10" ht="15.5" x14ac:dyDescent="0.35">
      <c r="A9" s="8"/>
      <c r="B9" s="9" t="s">
        <v>26</v>
      </c>
      <c r="C9" s="9"/>
      <c r="D9" s="9"/>
      <c r="E9" s="9"/>
      <c r="F9" s="9"/>
      <c r="G9" s="9"/>
      <c r="H9" s="9"/>
      <c r="I9" s="9"/>
      <c r="J9" s="13"/>
    </row>
    <row r="10" spans="1:10" ht="15.5" x14ac:dyDescent="0.35">
      <c r="A10" s="8"/>
      <c r="B10" s="9"/>
      <c r="C10" s="9"/>
      <c r="D10" s="9"/>
      <c r="E10" s="9"/>
      <c r="F10" s="9"/>
      <c r="G10" s="9"/>
      <c r="H10" s="9"/>
      <c r="I10" s="9"/>
      <c r="J10" s="13"/>
    </row>
    <row r="11" spans="1:10" ht="15.5" x14ac:dyDescent="0.35">
      <c r="A11" s="8"/>
      <c r="B11" s="9" t="s">
        <v>27</v>
      </c>
      <c r="C11" s="9"/>
      <c r="D11" s="9"/>
      <c r="E11" s="9"/>
      <c r="F11" s="9"/>
      <c r="G11" s="9"/>
      <c r="H11" s="9"/>
      <c r="I11" s="9"/>
      <c r="J11" s="13"/>
    </row>
    <row r="12" spans="1:10" ht="15.5" x14ac:dyDescent="0.35">
      <c r="A12" s="8"/>
      <c r="B12" s="9"/>
      <c r="C12" s="9" t="s">
        <v>28</v>
      </c>
      <c r="D12" s="9"/>
      <c r="E12" s="9"/>
      <c r="F12" s="9"/>
      <c r="G12" s="9"/>
      <c r="H12" s="9"/>
      <c r="I12" s="9"/>
      <c r="J12" s="13"/>
    </row>
    <row r="13" spans="1:10" ht="15.5" x14ac:dyDescent="0.35">
      <c r="A13" s="8"/>
      <c r="B13" s="9"/>
      <c r="C13" s="9" t="s">
        <v>29</v>
      </c>
      <c r="D13" s="9"/>
      <c r="E13" s="9"/>
      <c r="F13" s="9"/>
      <c r="G13" s="9"/>
      <c r="H13" s="9"/>
      <c r="I13" s="9"/>
      <c r="J13" s="13"/>
    </row>
    <row r="14" spans="1:10" ht="15.5" x14ac:dyDescent="0.35">
      <c r="A14" s="8"/>
      <c r="B14" s="9"/>
      <c r="C14" s="9" t="s">
        <v>30</v>
      </c>
      <c r="D14" s="9"/>
      <c r="E14" s="9"/>
      <c r="F14" s="9"/>
      <c r="G14" s="9"/>
      <c r="H14" s="9"/>
      <c r="I14" s="9"/>
      <c r="J14" s="13"/>
    </row>
    <row r="15" spans="1:10" ht="15.5" x14ac:dyDescent="0.35">
      <c r="A15" s="8"/>
      <c r="B15" s="9"/>
      <c r="C15" s="9" t="s">
        <v>31</v>
      </c>
      <c r="D15" s="9"/>
      <c r="E15" s="9"/>
      <c r="F15" s="9"/>
      <c r="G15" s="9"/>
      <c r="H15" s="9"/>
      <c r="I15" s="9"/>
      <c r="J15" s="13"/>
    </row>
    <row r="16" spans="1:10" ht="16" thickBot="1" x14ac:dyDescent="0.4">
      <c r="A16" s="8"/>
      <c r="B16" s="9"/>
      <c r="C16" s="9"/>
      <c r="D16" s="9"/>
      <c r="E16" s="9"/>
      <c r="F16" s="9"/>
      <c r="G16" s="9"/>
      <c r="H16" s="9"/>
      <c r="I16" s="9"/>
      <c r="J16" s="13"/>
    </row>
    <row r="17" spans="1:10" ht="15.5" x14ac:dyDescent="0.35">
      <c r="A17" s="8"/>
      <c r="B17" s="82" t="s">
        <v>32</v>
      </c>
      <c r="C17" s="83"/>
      <c r="D17" s="84"/>
      <c r="E17" s="9"/>
      <c r="F17" s="9"/>
      <c r="G17" s="9"/>
      <c r="H17" s="9"/>
      <c r="I17" s="9"/>
      <c r="J17" s="13"/>
    </row>
    <row r="18" spans="1:10" ht="16" thickBot="1" x14ac:dyDescent="0.4">
      <c r="A18" s="8"/>
      <c r="B18" s="85"/>
      <c r="C18" s="86"/>
      <c r="D18" s="87"/>
      <c r="E18" s="9"/>
      <c r="F18" s="9"/>
      <c r="G18" s="9"/>
      <c r="H18" s="9"/>
      <c r="I18" s="9"/>
      <c r="J18" s="13"/>
    </row>
    <row r="19" spans="1:10" ht="15.5" x14ac:dyDescent="0.35">
      <c r="A19" s="8"/>
      <c r="B19" s="9"/>
      <c r="C19" s="9"/>
      <c r="D19" s="9"/>
      <c r="E19" s="9"/>
      <c r="F19" s="9"/>
      <c r="G19" s="9"/>
      <c r="H19" s="9"/>
      <c r="I19" s="9"/>
      <c r="J19" s="13"/>
    </row>
    <row r="20" spans="1:10" ht="15.5" x14ac:dyDescent="0.35">
      <c r="A20" s="8"/>
      <c r="B20" s="9" t="s">
        <v>33</v>
      </c>
      <c r="C20" s="9"/>
      <c r="D20" s="9"/>
      <c r="E20" s="9"/>
      <c r="F20" s="9"/>
      <c r="G20" s="9"/>
      <c r="H20" s="9"/>
      <c r="I20" s="9"/>
      <c r="J20" s="13"/>
    </row>
    <row r="21" spans="1:10" ht="15.5" x14ac:dyDescent="0.35">
      <c r="A21" s="8"/>
      <c r="B21" s="9" t="s">
        <v>34</v>
      </c>
      <c r="C21" s="9"/>
      <c r="D21" s="9"/>
      <c r="E21" s="9"/>
      <c r="F21" s="9"/>
      <c r="G21" s="9"/>
      <c r="H21" s="9"/>
      <c r="I21" s="9"/>
      <c r="J21" s="13"/>
    </row>
    <row r="22" spans="1:10" ht="15.5" x14ac:dyDescent="0.35">
      <c r="A22" s="8"/>
      <c r="B22" s="9" t="s">
        <v>35</v>
      </c>
      <c r="C22" s="9"/>
      <c r="D22" s="9"/>
      <c r="E22" s="9"/>
      <c r="F22" s="9"/>
      <c r="G22" s="9"/>
      <c r="H22" s="9"/>
      <c r="I22" s="9"/>
      <c r="J22" s="13"/>
    </row>
    <row r="23" spans="1:10" ht="15.5" x14ac:dyDescent="0.35">
      <c r="A23" s="8"/>
      <c r="B23" s="9"/>
      <c r="C23" s="9"/>
      <c r="D23" s="9"/>
      <c r="E23" s="9"/>
      <c r="F23" s="9"/>
      <c r="G23" s="9"/>
      <c r="H23" s="9"/>
      <c r="I23" s="9"/>
      <c r="J23" s="13"/>
    </row>
    <row r="24" spans="1:10" ht="15.5" x14ac:dyDescent="0.35">
      <c r="A24" s="8"/>
      <c r="B24" s="9" t="s">
        <v>36</v>
      </c>
      <c r="C24" s="9"/>
      <c r="D24" s="9"/>
      <c r="E24" s="9"/>
      <c r="F24" s="9"/>
      <c r="G24" s="9"/>
      <c r="H24" s="9"/>
      <c r="I24" s="9"/>
      <c r="J24" s="13"/>
    </row>
    <row r="25" spans="1:10" ht="15.5" x14ac:dyDescent="0.35">
      <c r="A25" s="8"/>
      <c r="B25" s="9" t="s">
        <v>37</v>
      </c>
      <c r="C25" s="9"/>
      <c r="D25" s="9"/>
      <c r="E25" s="9"/>
      <c r="F25" s="9"/>
      <c r="G25" s="9"/>
      <c r="H25" s="9"/>
      <c r="I25" s="9"/>
      <c r="J25" s="13"/>
    </row>
    <row r="26" spans="1:10" ht="15.5" x14ac:dyDescent="0.35">
      <c r="A26" s="8"/>
      <c r="B26" s="9"/>
      <c r="C26" s="9"/>
      <c r="D26" s="9"/>
      <c r="E26" s="9"/>
      <c r="F26" s="9"/>
      <c r="G26" s="9"/>
      <c r="H26" s="9"/>
      <c r="I26" s="9"/>
      <c r="J26" s="13"/>
    </row>
    <row r="27" spans="1:10" ht="15.5" x14ac:dyDescent="0.35">
      <c r="A27" s="8"/>
      <c r="B27" s="9" t="s">
        <v>38</v>
      </c>
      <c r="C27" s="9"/>
      <c r="D27" s="9"/>
      <c r="E27" s="9"/>
      <c r="F27" s="9"/>
      <c r="G27" s="9"/>
      <c r="H27" s="9"/>
      <c r="I27" s="9"/>
      <c r="J27" s="13"/>
    </row>
    <row r="28" spans="1:10" ht="15.5" x14ac:dyDescent="0.35">
      <c r="A28" s="8"/>
      <c r="B28" s="9" t="s">
        <v>39</v>
      </c>
      <c r="C28" s="9"/>
      <c r="D28" s="9"/>
      <c r="E28" s="9"/>
      <c r="F28" s="9"/>
      <c r="G28" s="9"/>
      <c r="H28" s="9"/>
      <c r="I28" s="9"/>
      <c r="J28" s="13"/>
    </row>
    <row r="29" spans="1:10" ht="15.5" x14ac:dyDescent="0.35">
      <c r="A29" s="8"/>
      <c r="B29" s="9" t="s">
        <v>40</v>
      </c>
      <c r="C29" s="9"/>
      <c r="D29" s="9"/>
      <c r="E29" s="9"/>
      <c r="F29" s="9"/>
      <c r="G29" s="9"/>
      <c r="H29" s="9"/>
      <c r="I29" s="9"/>
      <c r="J29" s="13"/>
    </row>
    <row r="30" spans="1:10" ht="15.5" x14ac:dyDescent="0.35">
      <c r="A30" s="8"/>
      <c r="B30" s="9"/>
      <c r="C30" s="9"/>
      <c r="D30" s="9"/>
      <c r="E30" s="9"/>
      <c r="F30" s="9"/>
      <c r="G30" s="9"/>
      <c r="H30" s="9"/>
      <c r="I30" s="9"/>
      <c r="J30" s="13"/>
    </row>
    <row r="31" spans="1:10" ht="15.5" x14ac:dyDescent="0.35">
      <c r="A31" s="8"/>
      <c r="B31" s="9" t="s">
        <v>41</v>
      </c>
      <c r="C31" s="9"/>
      <c r="D31" s="9"/>
      <c r="E31" s="9"/>
      <c r="F31" s="9"/>
      <c r="G31" s="9"/>
      <c r="H31" s="9"/>
      <c r="I31" s="9"/>
      <c r="J31" s="13"/>
    </row>
    <row r="32" spans="1:10" ht="15.5" x14ac:dyDescent="0.35">
      <c r="A32" s="8"/>
      <c r="B32" s="9" t="s">
        <v>42</v>
      </c>
      <c r="C32" s="9"/>
      <c r="D32" s="9"/>
      <c r="E32" s="9"/>
      <c r="F32" s="9"/>
      <c r="G32" s="9"/>
      <c r="H32" s="9"/>
      <c r="I32" s="9"/>
      <c r="J32" s="13"/>
    </row>
    <row r="33" spans="1:10" ht="15.5" x14ac:dyDescent="0.35">
      <c r="A33" s="8"/>
      <c r="B33" s="9" t="s">
        <v>43</v>
      </c>
      <c r="C33" s="9"/>
      <c r="D33" s="9"/>
      <c r="E33" s="9"/>
      <c r="F33" s="9"/>
      <c r="G33" s="9"/>
      <c r="H33" s="9"/>
      <c r="I33" s="9"/>
      <c r="J33" s="13"/>
    </row>
    <row r="34" spans="1:10" ht="15.5" x14ac:dyDescent="0.35">
      <c r="A34" s="8"/>
      <c r="B34" s="9" t="s">
        <v>44</v>
      </c>
      <c r="C34" s="9"/>
      <c r="D34" s="9"/>
      <c r="E34" s="9"/>
      <c r="F34" s="9"/>
      <c r="G34" s="9"/>
      <c r="H34" s="9"/>
      <c r="I34" s="9"/>
      <c r="J34" s="13"/>
    </row>
    <row r="35" spans="1:10" ht="16" thickBot="1" x14ac:dyDescent="0.4">
      <c r="A35" s="8"/>
      <c r="B35" s="9"/>
      <c r="C35" s="9"/>
      <c r="D35" s="9"/>
      <c r="E35" s="9"/>
      <c r="F35" s="9"/>
      <c r="G35" s="9"/>
      <c r="H35" s="9"/>
      <c r="I35" s="9"/>
      <c r="J35" s="13"/>
    </row>
    <row r="36" spans="1:10" ht="15.5" x14ac:dyDescent="0.35">
      <c r="A36" s="8"/>
      <c r="B36" s="82" t="s">
        <v>45</v>
      </c>
      <c r="C36" s="83"/>
      <c r="D36" s="84"/>
      <c r="E36" s="9"/>
      <c r="F36" s="9"/>
      <c r="G36" s="9"/>
      <c r="H36" s="9"/>
      <c r="I36" s="9"/>
      <c r="J36" s="13"/>
    </row>
    <row r="37" spans="1:10" ht="16" thickBot="1" x14ac:dyDescent="0.4">
      <c r="A37" s="8"/>
      <c r="B37" s="85"/>
      <c r="C37" s="86"/>
      <c r="D37" s="87"/>
      <c r="E37" s="9"/>
      <c r="F37" s="9"/>
      <c r="G37" s="9"/>
      <c r="H37" s="9"/>
      <c r="I37" s="9"/>
      <c r="J37" s="13"/>
    </row>
    <row r="38" spans="1:10" ht="15.5" x14ac:dyDescent="0.35">
      <c r="A38" s="8"/>
      <c r="B38" s="9"/>
      <c r="C38" s="9"/>
      <c r="D38" s="9"/>
      <c r="E38" s="9"/>
      <c r="F38" s="9"/>
      <c r="G38" s="9"/>
      <c r="H38" s="9"/>
      <c r="I38" s="9"/>
      <c r="J38" s="13"/>
    </row>
    <row r="39" spans="1:10" ht="15.5" x14ac:dyDescent="0.35">
      <c r="A39" s="8"/>
      <c r="B39" s="9" t="s">
        <v>46</v>
      </c>
      <c r="C39" s="9"/>
      <c r="D39" s="9"/>
      <c r="E39" s="9"/>
      <c r="F39" s="9"/>
      <c r="G39" s="9"/>
      <c r="H39" s="9"/>
      <c r="I39" s="9"/>
      <c r="J39" s="13"/>
    </row>
    <row r="40" spans="1:10" ht="15.5" x14ac:dyDescent="0.35">
      <c r="A40" s="8"/>
      <c r="B40" s="9" t="s">
        <v>47</v>
      </c>
      <c r="C40" s="9"/>
      <c r="D40" s="9"/>
      <c r="E40" s="9"/>
      <c r="F40" s="9"/>
      <c r="G40" s="9"/>
      <c r="H40" s="9"/>
      <c r="I40" s="9"/>
      <c r="J40" s="13"/>
    </row>
    <row r="41" spans="1:10" ht="15.5" x14ac:dyDescent="0.35">
      <c r="A41" s="8"/>
      <c r="B41" s="9" t="s">
        <v>48</v>
      </c>
      <c r="C41" s="9"/>
      <c r="D41" s="9"/>
      <c r="E41" s="9"/>
      <c r="F41" s="9"/>
      <c r="G41" s="9"/>
      <c r="H41" s="9"/>
      <c r="I41" s="9"/>
      <c r="J41" s="13"/>
    </row>
    <row r="42" spans="1:10" ht="15.5" x14ac:dyDescent="0.35">
      <c r="A42" s="8"/>
      <c r="B42" s="9" t="s">
        <v>49</v>
      </c>
      <c r="C42" s="9"/>
      <c r="D42" s="9"/>
      <c r="E42" s="9"/>
      <c r="F42" s="9"/>
      <c r="G42" s="9"/>
      <c r="H42" s="9"/>
      <c r="I42" s="9"/>
      <c r="J42" s="13"/>
    </row>
    <row r="43" spans="1:10" ht="15.5" x14ac:dyDescent="0.35">
      <c r="A43" s="8"/>
      <c r="B43" s="9"/>
      <c r="C43" s="9"/>
      <c r="D43" s="9"/>
      <c r="E43" s="9"/>
      <c r="F43" s="9"/>
      <c r="G43" s="9"/>
      <c r="H43" s="9"/>
      <c r="I43" s="9"/>
      <c r="J43" s="13"/>
    </row>
    <row r="44" spans="1:10" ht="15.5" x14ac:dyDescent="0.35">
      <c r="A44" s="8"/>
      <c r="B44" s="9"/>
      <c r="C44" s="9"/>
      <c r="D44" s="9"/>
      <c r="E44" s="9"/>
      <c r="F44" s="9"/>
      <c r="G44" s="9"/>
      <c r="H44" s="9"/>
      <c r="I44" s="9"/>
      <c r="J44" s="13"/>
    </row>
    <row r="45" spans="1:10" ht="15.5" x14ac:dyDescent="0.35">
      <c r="A45" s="8"/>
      <c r="B45" s="9"/>
      <c r="C45" s="9"/>
      <c r="D45" s="9"/>
      <c r="E45" s="9"/>
      <c r="F45" s="9"/>
      <c r="G45" s="9"/>
      <c r="H45" s="9"/>
      <c r="I45" s="9"/>
      <c r="J45" s="13"/>
    </row>
    <row r="46" spans="1:10" ht="15.5" x14ac:dyDescent="0.35">
      <c r="A46" s="8"/>
      <c r="B46" s="9" t="s">
        <v>50</v>
      </c>
      <c r="C46" s="9"/>
      <c r="D46" s="9"/>
      <c r="E46" s="9"/>
      <c r="F46" s="9"/>
      <c r="G46" s="9"/>
      <c r="H46" s="9"/>
      <c r="I46" s="9"/>
      <c r="J46" s="13"/>
    </row>
    <row r="47" spans="1:10" ht="15.5" x14ac:dyDescent="0.35">
      <c r="A47" s="8"/>
      <c r="B47" s="9" t="s">
        <v>51</v>
      </c>
      <c r="C47" s="9"/>
      <c r="D47" s="9"/>
      <c r="E47" s="9"/>
      <c r="F47" s="9"/>
      <c r="G47" s="9"/>
      <c r="H47" s="9"/>
      <c r="I47" s="9"/>
      <c r="J47" s="13"/>
    </row>
    <row r="48" spans="1:10" ht="15.5" x14ac:dyDescent="0.35">
      <c r="A48" s="8"/>
      <c r="B48" s="9" t="s">
        <v>52</v>
      </c>
      <c r="C48" s="9"/>
      <c r="D48" s="9"/>
      <c r="E48" s="9"/>
      <c r="F48" s="9"/>
      <c r="G48" s="9"/>
      <c r="H48" s="9"/>
      <c r="I48" s="9"/>
      <c r="J48" s="13"/>
    </row>
    <row r="49" spans="1:10" ht="15.5" x14ac:dyDescent="0.35">
      <c r="A49" s="8"/>
      <c r="B49" s="9"/>
      <c r="C49" s="9"/>
      <c r="D49" s="9"/>
      <c r="E49" s="9"/>
      <c r="F49" s="9"/>
      <c r="G49" s="9"/>
      <c r="H49" s="9"/>
      <c r="I49" s="9"/>
      <c r="J49" s="13"/>
    </row>
    <row r="50" spans="1:10" ht="15.5" x14ac:dyDescent="0.35">
      <c r="A50" s="8"/>
      <c r="B50" s="9"/>
      <c r="C50" s="9"/>
      <c r="D50" s="9"/>
      <c r="E50" s="9"/>
      <c r="F50" s="9"/>
      <c r="G50" s="9"/>
      <c r="H50" s="9"/>
      <c r="I50" s="9"/>
      <c r="J50" s="13"/>
    </row>
    <row r="51" spans="1:10" ht="15.5" x14ac:dyDescent="0.35">
      <c r="A51" s="8"/>
      <c r="B51" s="9" t="s">
        <v>53</v>
      </c>
      <c r="C51" s="9"/>
      <c r="D51" s="9"/>
      <c r="E51" s="9"/>
      <c r="F51" s="9"/>
      <c r="G51" s="9"/>
      <c r="H51" s="9"/>
      <c r="I51" s="9"/>
      <c r="J51" s="13"/>
    </row>
    <row r="52" spans="1:10" ht="15.5" x14ac:dyDescent="0.35">
      <c r="A52" s="8"/>
      <c r="B52" s="9"/>
      <c r="C52" s="9"/>
      <c r="D52" s="9"/>
      <c r="E52" s="9"/>
      <c r="F52" s="9"/>
      <c r="G52" s="9"/>
      <c r="H52" s="9"/>
      <c r="I52" s="9"/>
      <c r="J52" s="13"/>
    </row>
    <row r="53" spans="1:10" ht="16" thickBot="1" x14ac:dyDescent="0.4">
      <c r="A53" s="8"/>
      <c r="B53" s="9"/>
      <c r="C53" s="9"/>
      <c r="D53" s="9"/>
      <c r="E53" s="9"/>
      <c r="F53" s="9"/>
      <c r="G53" s="9"/>
      <c r="H53" s="9"/>
      <c r="I53" s="9"/>
      <c r="J53" s="13"/>
    </row>
    <row r="54" spans="1:10" ht="15.5" x14ac:dyDescent="0.35">
      <c r="A54" s="8"/>
      <c r="B54" s="82" t="s">
        <v>54</v>
      </c>
      <c r="C54" s="83"/>
      <c r="D54" s="84"/>
      <c r="E54" s="9"/>
      <c r="F54" s="9"/>
      <c r="G54" s="9"/>
      <c r="H54" s="9"/>
      <c r="I54" s="9"/>
      <c r="J54" s="13"/>
    </row>
    <row r="55" spans="1:10" ht="16" thickBot="1" x14ac:dyDescent="0.4">
      <c r="A55" s="8"/>
      <c r="B55" s="85"/>
      <c r="C55" s="86"/>
      <c r="D55" s="87"/>
      <c r="E55" s="9"/>
      <c r="F55" s="9"/>
      <c r="G55" s="9"/>
      <c r="H55" s="9"/>
      <c r="I55" s="9"/>
      <c r="J55" s="13"/>
    </row>
    <row r="56" spans="1:10" ht="15.5" x14ac:dyDescent="0.35">
      <c r="A56" s="8"/>
      <c r="B56" s="9"/>
      <c r="C56" s="9"/>
      <c r="D56" s="9"/>
      <c r="E56" s="9"/>
      <c r="F56" s="9"/>
      <c r="G56" s="9"/>
      <c r="H56" s="9"/>
      <c r="I56" s="9"/>
      <c r="J56" s="13"/>
    </row>
    <row r="57" spans="1:10" ht="15.5" x14ac:dyDescent="0.35">
      <c r="A57" s="8"/>
      <c r="B57" s="9" t="s">
        <v>55</v>
      </c>
      <c r="C57" s="9"/>
      <c r="D57" s="9"/>
      <c r="E57" s="9"/>
      <c r="F57" s="9"/>
      <c r="G57" s="9"/>
      <c r="H57" s="9"/>
      <c r="I57" s="9"/>
      <c r="J57" s="13"/>
    </row>
    <row r="58" spans="1:10" ht="15.5" x14ac:dyDescent="0.35">
      <c r="A58" s="8"/>
      <c r="B58" s="9" t="s">
        <v>56</v>
      </c>
      <c r="C58" s="9"/>
      <c r="D58" s="9"/>
      <c r="E58" s="9"/>
      <c r="F58" s="9"/>
      <c r="G58" s="9"/>
      <c r="H58" s="9"/>
      <c r="I58" s="9"/>
      <c r="J58" s="13"/>
    </row>
    <row r="59" spans="1:10" ht="15.5" x14ac:dyDescent="0.35">
      <c r="A59" s="8"/>
      <c r="B59" s="9" t="s">
        <v>57</v>
      </c>
      <c r="C59" s="9"/>
      <c r="D59" s="9"/>
      <c r="E59" s="9"/>
      <c r="F59" s="9"/>
      <c r="G59" s="9"/>
      <c r="H59" s="9"/>
      <c r="I59" s="9"/>
      <c r="J59" s="13"/>
    </row>
    <row r="60" spans="1:10" ht="15.5" x14ac:dyDescent="0.35">
      <c r="A60" s="8"/>
      <c r="B60" s="9"/>
      <c r="C60" s="9"/>
      <c r="D60" s="9"/>
      <c r="E60" s="9"/>
      <c r="F60" s="9"/>
      <c r="G60" s="9"/>
      <c r="H60" s="9"/>
      <c r="I60" s="9"/>
      <c r="J60" s="13"/>
    </row>
    <row r="61" spans="1:10" ht="15.5" x14ac:dyDescent="0.35">
      <c r="A61" s="8"/>
      <c r="B61" s="9"/>
      <c r="C61" s="9"/>
      <c r="D61" s="9"/>
      <c r="E61" s="9"/>
      <c r="F61" s="9"/>
      <c r="G61" s="9"/>
      <c r="H61" s="9"/>
      <c r="I61" s="9"/>
      <c r="J61" s="13"/>
    </row>
    <row r="62" spans="1:10" ht="15.5" x14ac:dyDescent="0.35">
      <c r="A62" s="8"/>
      <c r="B62" s="9"/>
      <c r="C62" s="9"/>
      <c r="D62" s="9"/>
      <c r="E62" s="9"/>
      <c r="F62" s="9"/>
      <c r="G62" s="9"/>
      <c r="H62" s="9"/>
      <c r="I62" s="9"/>
      <c r="J62" s="13"/>
    </row>
    <row r="63" spans="1:10" ht="15.5" x14ac:dyDescent="0.35">
      <c r="A63" s="8"/>
      <c r="B63" s="9"/>
      <c r="C63" s="9"/>
      <c r="D63" s="9"/>
      <c r="E63" s="9"/>
      <c r="F63" s="9"/>
      <c r="G63" s="9"/>
      <c r="H63" s="9"/>
      <c r="I63" s="9"/>
      <c r="J63" s="13"/>
    </row>
    <row r="64" spans="1:10" ht="15.5" x14ac:dyDescent="0.35">
      <c r="A64" s="8"/>
      <c r="B64" s="9"/>
      <c r="C64" s="9"/>
      <c r="D64" s="9"/>
      <c r="E64" s="9"/>
      <c r="F64" s="9"/>
      <c r="G64" s="9"/>
      <c r="H64" s="9"/>
      <c r="I64" s="9"/>
      <c r="J64" s="13"/>
    </row>
    <row r="65" spans="1:10" ht="15.5" x14ac:dyDescent="0.35">
      <c r="A65" s="8"/>
      <c r="B65" s="9"/>
      <c r="C65" s="9"/>
      <c r="D65" s="9"/>
      <c r="E65" s="9"/>
      <c r="F65" s="9"/>
      <c r="G65" s="9"/>
      <c r="H65" s="9"/>
      <c r="I65" s="9"/>
      <c r="J65" s="13"/>
    </row>
    <row r="66" spans="1:10" ht="15.5" x14ac:dyDescent="0.35">
      <c r="A66" s="8"/>
      <c r="B66" s="9"/>
      <c r="C66" s="9"/>
      <c r="D66" s="9"/>
      <c r="E66" s="9"/>
      <c r="F66" s="9"/>
      <c r="G66" s="9"/>
      <c r="H66" s="9"/>
      <c r="I66" s="9"/>
      <c r="J66" s="13"/>
    </row>
    <row r="67" spans="1:10" ht="15.5" x14ac:dyDescent="0.35">
      <c r="A67" s="8"/>
      <c r="B67" s="9"/>
      <c r="C67" s="9"/>
      <c r="D67" s="9"/>
      <c r="E67" s="9"/>
      <c r="F67" s="9"/>
      <c r="G67" s="9"/>
      <c r="H67" s="9"/>
      <c r="I67" s="9"/>
      <c r="J67" s="13"/>
    </row>
    <row r="68" spans="1:10" ht="15.5" x14ac:dyDescent="0.35">
      <c r="A68" s="8"/>
      <c r="B68" s="9"/>
      <c r="C68" s="9"/>
      <c r="D68" s="9"/>
      <c r="E68" s="9"/>
      <c r="F68" s="9"/>
      <c r="G68" s="9"/>
      <c r="H68" s="9"/>
      <c r="I68" s="9"/>
      <c r="J68" s="13"/>
    </row>
    <row r="69" spans="1:10" ht="15.5" x14ac:dyDescent="0.35">
      <c r="A69" s="8"/>
      <c r="B69" s="9"/>
      <c r="C69" s="9"/>
      <c r="D69" s="9"/>
      <c r="E69" s="9"/>
      <c r="F69" s="9"/>
      <c r="G69" s="9"/>
      <c r="H69" s="9"/>
      <c r="I69" s="9"/>
      <c r="J69" s="13"/>
    </row>
    <row r="70" spans="1:10" ht="15.5" x14ac:dyDescent="0.35">
      <c r="A70" s="8"/>
      <c r="B70" s="9"/>
      <c r="C70" s="9"/>
      <c r="D70" s="9"/>
      <c r="E70" s="9"/>
      <c r="F70" s="9"/>
      <c r="G70" s="9"/>
      <c r="H70" s="9"/>
      <c r="I70" s="9"/>
      <c r="J70" s="13"/>
    </row>
    <row r="71" spans="1:10" ht="15.5" x14ac:dyDescent="0.35">
      <c r="A71" s="8"/>
      <c r="B71" s="9"/>
      <c r="C71" s="9"/>
      <c r="D71" s="9"/>
      <c r="E71" s="9"/>
      <c r="F71" s="9"/>
      <c r="G71" s="9"/>
      <c r="H71" s="9"/>
      <c r="I71" s="9"/>
      <c r="J71" s="13"/>
    </row>
    <row r="72" spans="1:10" ht="15.5" x14ac:dyDescent="0.35">
      <c r="A72" s="8"/>
      <c r="B72" s="9"/>
      <c r="C72" s="9"/>
      <c r="D72" s="9"/>
      <c r="E72" s="9"/>
      <c r="F72" s="9"/>
      <c r="G72" s="9"/>
      <c r="H72" s="9"/>
      <c r="I72" s="9"/>
      <c r="J72" s="13"/>
    </row>
    <row r="73" spans="1:10" ht="15.5" x14ac:dyDescent="0.35">
      <c r="A73" s="8"/>
      <c r="B73" s="9"/>
      <c r="C73" s="9"/>
      <c r="D73" s="9"/>
      <c r="E73" s="9"/>
      <c r="F73" s="9"/>
      <c r="G73" s="9"/>
      <c r="H73" s="9"/>
      <c r="I73" s="9"/>
      <c r="J73" s="13"/>
    </row>
    <row r="74" spans="1:10" ht="15.5" x14ac:dyDescent="0.35">
      <c r="A74" s="8"/>
      <c r="B74" s="9"/>
      <c r="C74" s="9"/>
      <c r="D74" s="9"/>
      <c r="E74" s="9"/>
      <c r="F74" s="9"/>
      <c r="G74" s="9"/>
      <c r="H74" s="9"/>
      <c r="I74" s="9"/>
      <c r="J74" s="13"/>
    </row>
    <row r="75" spans="1:10" ht="15.5" x14ac:dyDescent="0.35">
      <c r="A75" s="8"/>
      <c r="B75" s="9"/>
      <c r="C75" s="9"/>
      <c r="D75" s="9"/>
      <c r="E75" s="9"/>
      <c r="F75" s="9"/>
      <c r="G75" s="9"/>
      <c r="H75" s="9"/>
      <c r="I75" s="9"/>
      <c r="J75" s="13"/>
    </row>
    <row r="76" spans="1:10" ht="15.5" x14ac:dyDescent="0.35">
      <c r="A76" s="8"/>
      <c r="B76" s="9"/>
      <c r="C76" s="9"/>
      <c r="D76" s="9"/>
      <c r="E76" s="9"/>
      <c r="F76" s="9"/>
      <c r="G76" s="9"/>
      <c r="H76" s="9"/>
      <c r="I76" s="9"/>
      <c r="J76" s="13"/>
    </row>
    <row r="77" spans="1:10" ht="15.5" x14ac:dyDescent="0.35">
      <c r="A77" s="8"/>
      <c r="B77" s="9"/>
      <c r="C77" s="9"/>
      <c r="D77" s="9"/>
      <c r="E77" s="9"/>
      <c r="F77" s="9"/>
      <c r="G77" s="9"/>
      <c r="H77" s="9"/>
      <c r="I77" s="9"/>
      <c r="J77" s="13"/>
    </row>
    <row r="78" spans="1:10" ht="15.5" x14ac:dyDescent="0.35">
      <c r="A78" s="8"/>
      <c r="B78" s="9"/>
      <c r="C78" s="9"/>
      <c r="D78" s="9"/>
      <c r="E78" s="9"/>
      <c r="F78" s="9"/>
      <c r="G78" s="9"/>
      <c r="H78" s="9"/>
      <c r="I78" s="9"/>
      <c r="J78" s="13"/>
    </row>
    <row r="79" spans="1:10" ht="15.5" x14ac:dyDescent="0.35">
      <c r="A79" s="8"/>
      <c r="B79" s="9"/>
      <c r="C79" s="9"/>
      <c r="D79" s="9"/>
      <c r="E79" s="9"/>
      <c r="F79" s="9"/>
      <c r="G79" s="9"/>
      <c r="H79" s="9"/>
      <c r="I79" s="9"/>
      <c r="J79" s="13"/>
    </row>
    <row r="80" spans="1:10" ht="15.5" x14ac:dyDescent="0.35">
      <c r="A80" s="8"/>
      <c r="B80" s="9"/>
      <c r="C80" s="9"/>
      <c r="D80" s="9"/>
      <c r="E80" s="9"/>
      <c r="F80" s="9"/>
      <c r="G80" s="9"/>
      <c r="H80" s="9"/>
      <c r="I80" s="9"/>
      <c r="J80" s="13"/>
    </row>
    <row r="81" spans="1:10" ht="15.5" x14ac:dyDescent="0.35">
      <c r="A81" s="8"/>
      <c r="B81" s="9"/>
      <c r="C81" s="9"/>
      <c r="D81" s="9"/>
      <c r="E81" s="9"/>
      <c r="F81" s="9"/>
      <c r="G81" s="9"/>
      <c r="H81" s="9"/>
      <c r="I81" s="9"/>
      <c r="J81" s="13"/>
    </row>
    <row r="82" spans="1:10" ht="15.5" x14ac:dyDescent="0.35">
      <c r="A82" s="8"/>
      <c r="B82" s="9" t="s">
        <v>58</v>
      </c>
      <c r="C82" s="9"/>
      <c r="D82" s="9"/>
      <c r="E82" s="9"/>
      <c r="F82" s="9"/>
      <c r="G82" s="9"/>
      <c r="H82" s="9"/>
      <c r="I82" s="9"/>
      <c r="J82" s="13"/>
    </row>
    <row r="83" spans="1:10" ht="16" thickBot="1" x14ac:dyDescent="0.4">
      <c r="A83" s="8"/>
      <c r="B83" s="9"/>
      <c r="C83" s="9"/>
      <c r="D83" s="9"/>
      <c r="E83" s="9"/>
      <c r="F83" s="9"/>
      <c r="G83" s="9"/>
      <c r="H83" s="9"/>
      <c r="I83" s="9"/>
      <c r="J83" s="13"/>
    </row>
    <row r="84" spans="1:10" ht="15.5" x14ac:dyDescent="0.35">
      <c r="A84" s="8"/>
      <c r="B84" s="82" t="s">
        <v>59</v>
      </c>
      <c r="C84" s="83"/>
      <c r="D84" s="84"/>
      <c r="E84" s="9"/>
      <c r="F84" s="9"/>
      <c r="G84" s="9"/>
      <c r="H84" s="9"/>
      <c r="I84" s="9"/>
      <c r="J84" s="13"/>
    </row>
    <row r="85" spans="1:10" ht="16" thickBot="1" x14ac:dyDescent="0.4">
      <c r="A85" s="8"/>
      <c r="B85" s="85"/>
      <c r="C85" s="86"/>
      <c r="D85" s="87"/>
      <c r="E85" s="9"/>
      <c r="F85" s="9"/>
      <c r="G85" s="9"/>
      <c r="H85" s="9"/>
      <c r="I85" s="9"/>
      <c r="J85" s="13"/>
    </row>
    <row r="86" spans="1:10" ht="15.5" x14ac:dyDescent="0.35">
      <c r="A86" s="8"/>
      <c r="B86" s="9"/>
      <c r="C86" s="9"/>
      <c r="D86" s="9"/>
      <c r="E86" s="9"/>
      <c r="F86" s="9"/>
      <c r="G86" s="9"/>
      <c r="H86" s="9"/>
      <c r="I86" s="9"/>
      <c r="J86" s="13"/>
    </row>
    <row r="87" spans="1:10" ht="15.5" x14ac:dyDescent="0.35">
      <c r="A87" s="8"/>
      <c r="B87" s="88"/>
      <c r="C87" s="9" t="s">
        <v>60</v>
      </c>
      <c r="D87" s="9"/>
      <c r="E87" s="9"/>
      <c r="F87" s="9"/>
      <c r="G87" s="9"/>
      <c r="H87" s="9"/>
      <c r="I87" s="9"/>
      <c r="J87" s="13"/>
    </row>
    <row r="88" spans="1:10" ht="15.5" x14ac:dyDescent="0.35">
      <c r="A88" s="8"/>
      <c r="B88" s="9"/>
      <c r="C88" s="9" t="s">
        <v>61</v>
      </c>
      <c r="D88" s="9"/>
      <c r="E88" s="9"/>
      <c r="F88" s="9"/>
      <c r="G88" s="9"/>
      <c r="H88" s="9"/>
      <c r="I88" s="9"/>
      <c r="J88" s="13"/>
    </row>
    <row r="89" spans="1:10" ht="15.5" x14ac:dyDescent="0.35">
      <c r="A89" s="8"/>
      <c r="B89" s="9"/>
      <c r="C89" s="9"/>
      <c r="D89" s="9"/>
      <c r="E89" s="9"/>
      <c r="F89" s="9"/>
      <c r="G89" s="9"/>
      <c r="H89" s="9"/>
      <c r="I89" s="9"/>
      <c r="J89" s="13"/>
    </row>
    <row r="90" spans="1:10" ht="15.5" x14ac:dyDescent="0.35">
      <c r="A90" s="8"/>
      <c r="B90" s="9" t="s">
        <v>62</v>
      </c>
      <c r="C90" s="9"/>
      <c r="D90" s="9"/>
      <c r="E90" s="9"/>
      <c r="F90" s="9"/>
      <c r="G90" s="9"/>
      <c r="H90" s="9"/>
      <c r="I90" s="9"/>
      <c r="J90" s="13"/>
    </row>
    <row r="91" spans="1:10" ht="15.5" x14ac:dyDescent="0.35">
      <c r="A91" s="8"/>
      <c r="B91" s="9" t="s">
        <v>63</v>
      </c>
      <c r="C91" s="9"/>
      <c r="D91" s="9"/>
      <c r="E91" s="9"/>
      <c r="F91" s="9"/>
      <c r="G91" s="9"/>
      <c r="H91" s="9"/>
      <c r="I91" s="9"/>
      <c r="J91" s="13"/>
    </row>
    <row r="92" spans="1:10" ht="16" thickBot="1" x14ac:dyDescent="0.4">
      <c r="A92" s="72"/>
      <c r="B92" s="70" t="s">
        <v>64</v>
      </c>
      <c r="C92" s="70"/>
      <c r="D92" s="70"/>
      <c r="E92" s="70"/>
      <c r="F92" s="70"/>
      <c r="G92" s="70"/>
      <c r="H92" s="70"/>
      <c r="I92" s="70"/>
      <c r="J92" s="71"/>
    </row>
    <row r="93" spans="1:10" s="7" customFormat="1" x14ac:dyDescent="0.35"/>
    <row r="94" spans="1:10" s="7" customFormat="1" x14ac:dyDescent="0.35"/>
    <row r="95" spans="1:10" s="7" customFormat="1" x14ac:dyDescent="0.35"/>
    <row r="96" spans="1:10" s="7" customFormat="1" x14ac:dyDescent="0.35"/>
    <row r="97" s="7" customFormat="1" x14ac:dyDescent="0.35"/>
    <row r="98" s="7" customFormat="1" x14ac:dyDescent="0.35"/>
    <row r="99" s="7" customFormat="1" x14ac:dyDescent="0.35"/>
    <row r="100" s="7" customFormat="1" x14ac:dyDescent="0.35"/>
    <row r="101" s="7" customFormat="1" x14ac:dyDescent="0.35"/>
    <row r="102" s="7" customFormat="1" x14ac:dyDescent="0.35"/>
    <row r="103" s="7" customFormat="1" x14ac:dyDescent="0.35"/>
    <row r="104" s="7" customFormat="1" x14ac:dyDescent="0.35"/>
    <row r="105" s="7" customFormat="1" x14ac:dyDescent="0.35"/>
    <row r="106" s="7" customFormat="1" x14ac:dyDescent="0.35"/>
    <row r="107" s="7" customFormat="1" x14ac:dyDescent="0.35"/>
    <row r="108" s="7" customFormat="1" x14ac:dyDescent="0.35"/>
    <row r="109" s="7" customFormat="1" x14ac:dyDescent="0.35"/>
    <row r="110" s="7" customFormat="1" x14ac:dyDescent="0.35"/>
    <row r="111" s="7" customFormat="1" x14ac:dyDescent="0.35"/>
    <row r="112" s="7" customFormat="1" x14ac:dyDescent="0.35"/>
    <row r="113" s="7" customFormat="1" x14ac:dyDescent="0.35"/>
    <row r="114" s="7" customFormat="1" x14ac:dyDescent="0.35"/>
    <row r="115" s="7" customFormat="1" x14ac:dyDescent="0.35"/>
    <row r="116" s="7" customFormat="1" x14ac:dyDescent="0.35"/>
    <row r="117" s="7" customFormat="1" x14ac:dyDescent="0.35"/>
    <row r="118" s="7" customFormat="1" x14ac:dyDescent="0.35"/>
    <row r="119" s="7" customFormat="1" x14ac:dyDescent="0.35"/>
    <row r="120" s="7" customFormat="1" x14ac:dyDescent="0.35"/>
    <row r="121" s="7" customFormat="1" x14ac:dyDescent="0.35"/>
    <row r="122" s="7" customFormat="1" x14ac:dyDescent="0.35"/>
    <row r="123" s="7" customFormat="1" x14ac:dyDescent="0.35"/>
    <row r="124" s="7" customFormat="1" x14ac:dyDescent="0.35"/>
    <row r="125" s="7" customFormat="1" x14ac:dyDescent="0.35"/>
    <row r="126" s="7" customFormat="1" x14ac:dyDescent="0.35"/>
    <row r="127" s="7" customFormat="1" x14ac:dyDescent="0.35"/>
    <row r="128" s="7" customFormat="1" x14ac:dyDescent="0.35"/>
    <row r="129" s="7" customFormat="1" x14ac:dyDescent="0.35"/>
    <row r="130" s="7" customFormat="1" x14ac:dyDescent="0.35"/>
    <row r="131" s="7" customFormat="1" x14ac:dyDescent="0.35"/>
    <row r="132" s="7" customFormat="1" x14ac:dyDescent="0.35"/>
    <row r="133" s="7" customFormat="1" x14ac:dyDescent="0.35"/>
    <row r="134" s="7" customFormat="1" x14ac:dyDescent="0.35"/>
    <row r="135" s="7" customFormat="1" x14ac:dyDescent="0.35"/>
    <row r="136" s="7" customFormat="1" x14ac:dyDescent="0.35"/>
    <row r="137" s="7" customFormat="1" x14ac:dyDescent="0.35"/>
    <row r="138" s="7" customFormat="1" x14ac:dyDescent="0.35"/>
    <row r="139" s="7" customFormat="1" x14ac:dyDescent="0.35"/>
    <row r="140" s="7" customFormat="1" x14ac:dyDescent="0.35"/>
    <row r="141" s="7" customFormat="1" x14ac:dyDescent="0.35"/>
    <row r="142" s="7" customFormat="1" x14ac:dyDescent="0.35"/>
    <row r="143" s="7" customFormat="1" x14ac:dyDescent="0.35"/>
    <row r="144" s="7" customFormat="1" x14ac:dyDescent="0.35"/>
    <row r="145" s="7" customFormat="1" x14ac:dyDescent="0.35"/>
    <row r="146" s="7" customFormat="1" x14ac:dyDescent="0.35"/>
    <row r="147" s="7" customFormat="1" x14ac:dyDescent="0.35"/>
    <row r="148" s="7" customFormat="1" x14ac:dyDescent="0.35"/>
    <row r="149" s="7" customFormat="1" x14ac:dyDescent="0.35"/>
    <row r="150" s="7" customFormat="1" x14ac:dyDescent="0.35"/>
    <row r="151" s="7" customFormat="1" x14ac:dyDescent="0.35"/>
    <row r="152" s="7" customFormat="1" x14ac:dyDescent="0.35"/>
    <row r="153" s="7" customFormat="1" x14ac:dyDescent="0.35"/>
    <row r="154" s="7" customFormat="1" x14ac:dyDescent="0.35"/>
    <row r="155" s="7" customFormat="1" x14ac:dyDescent="0.35"/>
    <row r="156" s="7" customFormat="1" x14ac:dyDescent="0.35"/>
    <row r="157" s="7" customFormat="1" x14ac:dyDescent="0.35"/>
    <row r="158" s="7" customFormat="1" x14ac:dyDescent="0.35"/>
    <row r="159" s="7" customFormat="1" x14ac:dyDescent="0.35"/>
    <row r="160" s="7" customFormat="1" x14ac:dyDescent="0.35"/>
    <row r="161" s="7" customFormat="1" x14ac:dyDescent="0.35"/>
    <row r="162" s="7" customFormat="1" x14ac:dyDescent="0.35"/>
    <row r="163" s="7" customFormat="1" x14ac:dyDescent="0.35"/>
    <row r="164" s="7" customFormat="1" x14ac:dyDescent="0.35"/>
    <row r="165" s="7" customFormat="1" x14ac:dyDescent="0.35"/>
    <row r="166" s="7" customFormat="1" x14ac:dyDescent="0.35"/>
    <row r="167" s="7" customFormat="1" x14ac:dyDescent="0.35"/>
    <row r="168" s="7" customFormat="1" x14ac:dyDescent="0.35"/>
    <row r="169" s="7" customFormat="1" x14ac:dyDescent="0.35"/>
    <row r="170" s="7" customFormat="1" x14ac:dyDescent="0.35"/>
    <row r="171" s="7" customFormat="1" x14ac:dyDescent="0.35"/>
    <row r="172" s="7" customFormat="1" x14ac:dyDescent="0.35"/>
    <row r="173" s="7" customFormat="1" x14ac:dyDescent="0.35"/>
    <row r="174" s="7" customFormat="1" x14ac:dyDescent="0.35"/>
    <row r="175" s="7" customFormat="1" x14ac:dyDescent="0.35"/>
    <row r="176" s="7" customFormat="1" x14ac:dyDescent="0.35"/>
    <row r="177" s="7" customFormat="1" x14ac:dyDescent="0.35"/>
    <row r="178" s="7" customFormat="1" x14ac:dyDescent="0.35"/>
    <row r="179" s="7" customFormat="1" x14ac:dyDescent="0.35"/>
    <row r="180" s="7" customFormat="1" x14ac:dyDescent="0.35"/>
    <row r="181" s="7" customFormat="1" x14ac:dyDescent="0.35"/>
    <row r="182" s="7" customFormat="1" x14ac:dyDescent="0.35"/>
    <row r="183" s="7" customFormat="1" x14ac:dyDescent="0.35"/>
    <row r="184" s="7" customFormat="1" x14ac:dyDescent="0.35"/>
    <row r="185" s="7" customFormat="1" x14ac:dyDescent="0.35"/>
    <row r="186" s="7" customFormat="1" x14ac:dyDescent="0.35"/>
    <row r="187" s="7" customFormat="1" x14ac:dyDescent="0.35"/>
    <row r="188" s="7" customFormat="1" x14ac:dyDescent="0.35"/>
    <row r="189" s="7" customFormat="1" x14ac:dyDescent="0.35"/>
    <row r="190" s="7" customFormat="1" x14ac:dyDescent="0.35"/>
    <row r="191" s="7" customFormat="1" x14ac:dyDescent="0.35"/>
    <row r="192" s="7" customFormat="1" x14ac:dyDescent="0.35"/>
    <row r="193" s="7" customFormat="1" x14ac:dyDescent="0.35"/>
    <row r="194" s="7" customFormat="1" x14ac:dyDescent="0.35"/>
    <row r="195" s="7" customFormat="1" x14ac:dyDescent="0.35"/>
    <row r="196" s="7" customFormat="1" x14ac:dyDescent="0.35"/>
    <row r="197" s="7" customFormat="1" x14ac:dyDescent="0.35"/>
    <row r="198" s="7" customFormat="1" x14ac:dyDescent="0.35"/>
    <row r="199" s="7" customFormat="1" x14ac:dyDescent="0.35"/>
    <row r="200" s="7" customFormat="1" x14ac:dyDescent="0.35"/>
    <row r="201" s="7" customFormat="1" x14ac:dyDescent="0.35"/>
    <row r="202" s="7" customFormat="1" x14ac:dyDescent="0.35"/>
    <row r="203" s="7" customFormat="1" x14ac:dyDescent="0.35"/>
    <row r="204" s="7" customFormat="1" x14ac:dyDescent="0.35"/>
    <row r="205" s="7" customFormat="1" x14ac:dyDescent="0.35"/>
    <row r="206" s="7" customFormat="1" x14ac:dyDescent="0.35"/>
  </sheetData>
  <mergeCells count="5">
    <mergeCell ref="F1:I3"/>
    <mergeCell ref="B17:D18"/>
    <mergeCell ref="B36:D37"/>
    <mergeCell ref="B54:D55"/>
    <mergeCell ref="B84:D8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E429-05FA-40A8-8FDA-8BF6AD2A7F08}">
  <dimension ref="A1:AS253"/>
  <sheetViews>
    <sheetView workbookViewId="0">
      <selection sqref="A1:XFD1048576"/>
    </sheetView>
  </sheetViews>
  <sheetFormatPr defaultRowHeight="14.5" x14ac:dyDescent="0.35"/>
  <cols>
    <col min="1" max="1" width="2.7265625" customWidth="1"/>
    <col min="2" max="9" width="10.453125" customWidth="1"/>
    <col min="10" max="10" width="2.7265625" customWidth="1"/>
    <col min="11" max="11" width="8.7265625" style="7"/>
    <col min="12" max="12" width="11.81640625" style="7" bestFit="1" customWidth="1"/>
    <col min="13" max="13" width="8.7265625" style="7"/>
    <col min="14" max="15" width="12.81640625" style="7" bestFit="1" customWidth="1"/>
    <col min="16" max="45" width="8.7265625" style="7"/>
  </cols>
  <sheetData>
    <row r="1" spans="1:12" ht="15.5" x14ac:dyDescent="0.35">
      <c r="A1" s="1"/>
      <c r="B1" s="2"/>
      <c r="C1" s="2"/>
      <c r="D1" s="2"/>
      <c r="E1" s="2"/>
      <c r="F1" s="3" t="s">
        <v>0</v>
      </c>
      <c r="G1" s="4"/>
      <c r="H1" s="4"/>
      <c r="I1" s="5"/>
      <c r="J1" s="6"/>
    </row>
    <row r="2" spans="1:12" ht="15.5" x14ac:dyDescent="0.35">
      <c r="A2" s="8"/>
      <c r="B2" s="9"/>
      <c r="C2" s="9"/>
      <c r="D2" s="9"/>
      <c r="E2" s="9"/>
      <c r="F2" s="10"/>
      <c r="G2" s="11"/>
      <c r="H2" s="11"/>
      <c r="I2" s="12"/>
      <c r="J2" s="13"/>
    </row>
    <row r="3" spans="1:12" ht="16" thickBot="1" x14ac:dyDescent="0.4">
      <c r="A3" s="8"/>
      <c r="B3" s="9"/>
      <c r="C3" s="9"/>
      <c r="D3" s="9"/>
      <c r="E3" s="9"/>
      <c r="F3" s="14"/>
      <c r="G3" s="15"/>
      <c r="H3" s="15"/>
      <c r="I3" s="16"/>
      <c r="J3" s="13"/>
    </row>
    <row r="4" spans="1:12" ht="16" thickBot="1" x14ac:dyDescent="0.4">
      <c r="A4" s="8"/>
      <c r="B4" s="9"/>
      <c r="C4" s="9"/>
      <c r="D4" s="9"/>
      <c r="E4" s="9"/>
      <c r="F4" s="9"/>
      <c r="G4" s="9"/>
      <c r="H4" s="9"/>
      <c r="I4" s="9"/>
      <c r="J4" s="13"/>
    </row>
    <row r="5" spans="1:12" ht="15.5" x14ac:dyDescent="0.35">
      <c r="A5" s="8"/>
      <c r="B5" s="17" t="s">
        <v>1</v>
      </c>
      <c r="C5" s="18"/>
      <c r="D5" s="18"/>
      <c r="E5" s="18"/>
      <c r="F5" s="18"/>
      <c r="G5" s="18"/>
      <c r="H5" s="18"/>
      <c r="I5" s="19"/>
      <c r="J5" s="13"/>
    </row>
    <row r="6" spans="1:12" ht="15.5" x14ac:dyDescent="0.35">
      <c r="A6" s="8"/>
      <c r="B6" s="20"/>
      <c r="C6" s="21"/>
      <c r="D6" s="21"/>
      <c r="E6" s="21"/>
      <c r="F6" s="21"/>
      <c r="G6" s="21"/>
      <c r="H6" s="21"/>
      <c r="I6" s="22"/>
      <c r="J6" s="13"/>
    </row>
    <row r="7" spans="1:12" ht="15.5" x14ac:dyDescent="0.35">
      <c r="A7" s="8"/>
      <c r="B7" s="8"/>
      <c r="C7" s="9"/>
      <c r="D7" s="9"/>
      <c r="E7" s="9"/>
      <c r="F7" s="9"/>
      <c r="G7" s="9"/>
      <c r="H7" s="9"/>
      <c r="I7" s="13"/>
      <c r="J7" s="13"/>
    </row>
    <row r="8" spans="1:12" ht="15.5" x14ac:dyDescent="0.35">
      <c r="A8" s="8"/>
      <c r="B8" s="8" t="s">
        <v>2</v>
      </c>
      <c r="C8" s="9"/>
      <c r="D8" s="23">
        <v>12581289</v>
      </c>
      <c r="E8" s="24"/>
      <c r="F8" s="9"/>
      <c r="G8" s="9"/>
      <c r="H8" s="9"/>
      <c r="I8" s="13"/>
      <c r="J8" s="13"/>
      <c r="L8" s="25"/>
    </row>
    <row r="9" spans="1:12" ht="15.5" x14ac:dyDescent="0.35">
      <c r="A9" s="8"/>
      <c r="B9" s="8"/>
      <c r="C9" s="9"/>
      <c r="D9" s="9"/>
      <c r="E9" s="9"/>
      <c r="F9" s="9"/>
      <c r="G9" s="9"/>
      <c r="H9" s="9"/>
      <c r="I9" s="13"/>
      <c r="J9" s="13"/>
      <c r="L9" s="25"/>
    </row>
    <row r="10" spans="1:12" ht="15.5" x14ac:dyDescent="0.35">
      <c r="A10" s="8"/>
      <c r="B10" s="8" t="s">
        <v>3</v>
      </c>
      <c r="C10" s="9"/>
      <c r="D10" s="23">
        <v>6950545</v>
      </c>
      <c r="E10" s="24"/>
      <c r="F10" s="9"/>
      <c r="G10" s="9"/>
      <c r="H10" s="9"/>
      <c r="I10" s="13"/>
      <c r="J10" s="13"/>
    </row>
    <row r="11" spans="1:12" ht="15.5" x14ac:dyDescent="0.35">
      <c r="A11" s="8"/>
      <c r="B11" s="8"/>
      <c r="C11" s="9"/>
      <c r="D11" s="9"/>
      <c r="E11" s="9"/>
      <c r="F11" s="9"/>
      <c r="G11" s="9"/>
      <c r="H11" s="9"/>
      <c r="I11" s="13"/>
      <c r="J11" s="13"/>
    </row>
    <row r="12" spans="1:12" ht="15.5" x14ac:dyDescent="0.35">
      <c r="A12" s="8"/>
      <c r="B12" s="8" t="s">
        <v>4</v>
      </c>
      <c r="C12" s="9"/>
      <c r="D12" s="26">
        <f>D8-D10</f>
        <v>5630744</v>
      </c>
      <c r="E12" s="27"/>
      <c r="F12" s="28">
        <f>IF(ISERROR(D12/D$8),0,D12/D$8)</f>
        <v>0.44754905479080881</v>
      </c>
      <c r="G12" s="9"/>
      <c r="H12" s="9"/>
      <c r="I12" s="13"/>
      <c r="J12" s="13"/>
      <c r="L12" s="29"/>
    </row>
    <row r="13" spans="1:12" ht="15.5" x14ac:dyDescent="0.35">
      <c r="A13" s="8"/>
      <c r="B13" s="8"/>
      <c r="C13" s="9"/>
      <c r="D13" s="9"/>
      <c r="E13" s="9"/>
      <c r="F13" s="9"/>
      <c r="G13" s="9"/>
      <c r="H13" s="9"/>
      <c r="I13" s="13"/>
      <c r="J13" s="13"/>
    </row>
    <row r="14" spans="1:12" ht="15.5" x14ac:dyDescent="0.35">
      <c r="A14" s="8"/>
      <c r="B14" s="8" t="s">
        <v>5</v>
      </c>
      <c r="C14" s="9"/>
      <c r="D14" s="23">
        <v>2459012</v>
      </c>
      <c r="E14" s="24"/>
      <c r="F14" s="9"/>
      <c r="G14" s="9"/>
      <c r="H14" s="9"/>
      <c r="I14" s="13"/>
      <c r="J14" s="13"/>
    </row>
    <row r="15" spans="1:12" ht="15.5" x14ac:dyDescent="0.35">
      <c r="A15" s="8"/>
      <c r="B15" s="8"/>
      <c r="C15" s="9"/>
      <c r="D15" s="9"/>
      <c r="E15" s="9"/>
      <c r="F15" s="9"/>
      <c r="G15" s="9"/>
      <c r="H15" s="9"/>
      <c r="I15" s="13"/>
      <c r="J15" s="13"/>
    </row>
    <row r="16" spans="1:12" ht="15.5" x14ac:dyDescent="0.35">
      <c r="A16" s="8"/>
      <c r="B16" s="8" t="s">
        <v>6</v>
      </c>
      <c r="C16" s="9"/>
      <c r="D16" s="26">
        <f>D12-D14</f>
        <v>3171732</v>
      </c>
      <c r="E16" s="27"/>
      <c r="F16" s="28">
        <f>IF(ISERROR(D16/D$8),0,D16/D$8)</f>
        <v>0.25209912911149246</v>
      </c>
      <c r="G16" s="9"/>
      <c r="H16" s="9"/>
      <c r="I16" s="13"/>
      <c r="J16" s="13"/>
      <c r="L16" s="30"/>
    </row>
    <row r="17" spans="1:16" ht="15.5" x14ac:dyDescent="0.35">
      <c r="A17" s="8"/>
      <c r="B17" s="8"/>
      <c r="C17" s="9"/>
      <c r="D17" s="9"/>
      <c r="E17" s="9"/>
      <c r="F17" s="9"/>
      <c r="G17" s="9"/>
      <c r="H17" s="9"/>
      <c r="I17" s="13"/>
      <c r="J17" s="13"/>
      <c r="L17" s="30"/>
    </row>
    <row r="18" spans="1:16" ht="15.5" x14ac:dyDescent="0.35">
      <c r="A18" s="8"/>
      <c r="B18" s="8" t="s">
        <v>7</v>
      </c>
      <c r="C18" s="9"/>
      <c r="D18" s="31">
        <f>D14/(F12)</f>
        <v>5494396.5888820374</v>
      </c>
      <c r="E18" s="32"/>
      <c r="F18" s="9"/>
      <c r="G18" s="9"/>
      <c r="H18" s="9"/>
      <c r="I18" s="13"/>
      <c r="J18" s="13"/>
      <c r="L18" s="30"/>
    </row>
    <row r="19" spans="1:16" ht="16" thickBot="1" x14ac:dyDescent="0.4">
      <c r="A19" s="8"/>
      <c r="B19" s="8"/>
      <c r="C19" s="9"/>
      <c r="D19" s="9"/>
      <c r="E19" s="9"/>
      <c r="F19" s="9"/>
      <c r="G19" s="9"/>
      <c r="H19" s="33" t="s">
        <v>8</v>
      </c>
      <c r="I19" s="34">
        <v>5</v>
      </c>
      <c r="J19" s="13"/>
      <c r="L19" s="30"/>
      <c r="N19" s="30"/>
    </row>
    <row r="20" spans="1:16" ht="15.5" x14ac:dyDescent="0.35">
      <c r="A20" s="8"/>
      <c r="B20" s="35" t="s">
        <v>9</v>
      </c>
      <c r="C20" s="36"/>
      <c r="D20" s="37" t="s">
        <v>10</v>
      </c>
      <c r="E20" s="38"/>
      <c r="F20" s="39" t="s">
        <v>11</v>
      </c>
      <c r="G20" s="40"/>
      <c r="H20" s="41" t="s">
        <v>12</v>
      </c>
      <c r="I20" s="42"/>
      <c r="J20" s="13"/>
    </row>
    <row r="21" spans="1:16" ht="16" thickBot="1" x14ac:dyDescent="0.4">
      <c r="A21" s="8"/>
      <c r="B21" s="43">
        <f>D18/4</f>
        <v>1373599.1472205094</v>
      </c>
      <c r="C21" s="44"/>
      <c r="D21" s="45">
        <f>B21/3</f>
        <v>457866.38240683643</v>
      </c>
      <c r="E21" s="46"/>
      <c r="F21" s="47">
        <f>D21/4.333</f>
        <v>105669.60129398486</v>
      </c>
      <c r="G21" s="48"/>
      <c r="H21" s="49">
        <f>IF(ISERROR(F21/I19),0,F21/I19)</f>
        <v>21133.92025879697</v>
      </c>
      <c r="I21" s="50"/>
      <c r="J21" s="13"/>
    </row>
    <row r="22" spans="1:16" ht="16" thickBot="1" x14ac:dyDescent="0.4">
      <c r="A22" s="8"/>
      <c r="B22" s="9"/>
      <c r="C22" s="9"/>
      <c r="D22" s="9"/>
      <c r="E22" s="9"/>
      <c r="F22" s="9"/>
      <c r="G22" s="9"/>
      <c r="H22" s="9"/>
      <c r="I22" s="9"/>
      <c r="J22" s="13"/>
    </row>
    <row r="23" spans="1:16" ht="15.75" customHeight="1" x14ac:dyDescent="0.35">
      <c r="A23" s="8"/>
      <c r="B23" s="17" t="s">
        <v>13</v>
      </c>
      <c r="C23" s="18"/>
      <c r="D23" s="18"/>
      <c r="E23" s="18"/>
      <c r="F23" s="18"/>
      <c r="G23" s="18"/>
      <c r="H23" s="18"/>
      <c r="I23" s="19"/>
      <c r="J23" s="13"/>
      <c r="L23" s="30"/>
      <c r="O23" s="30"/>
    </row>
    <row r="24" spans="1:16" ht="15.5" x14ac:dyDescent="0.35">
      <c r="A24" s="8"/>
      <c r="B24" s="20"/>
      <c r="C24" s="21"/>
      <c r="D24" s="21"/>
      <c r="E24" s="21"/>
      <c r="F24" s="21"/>
      <c r="G24" s="21"/>
      <c r="H24" s="21"/>
      <c r="I24" s="22"/>
      <c r="J24" s="13"/>
      <c r="L24" s="51"/>
      <c r="O24" s="30"/>
    </row>
    <row r="25" spans="1:16" ht="15.5" x14ac:dyDescent="0.35">
      <c r="A25" s="8"/>
      <c r="B25" s="8"/>
      <c r="C25" s="9"/>
      <c r="D25" s="9"/>
      <c r="E25" s="9"/>
      <c r="F25" s="9"/>
      <c r="G25" s="9"/>
      <c r="H25" s="9"/>
      <c r="I25" s="13"/>
      <c r="J25" s="13"/>
      <c r="L25" s="30"/>
      <c r="O25" s="30"/>
    </row>
    <row r="26" spans="1:16" ht="15.5" x14ac:dyDescent="0.35">
      <c r="A26" s="8"/>
      <c r="B26" s="52" t="s">
        <v>14</v>
      </c>
      <c r="C26" s="53"/>
      <c r="D26" s="53"/>
      <c r="E26" s="53"/>
      <c r="F26" s="9"/>
      <c r="G26" s="53" t="s">
        <v>15</v>
      </c>
      <c r="H26" s="53"/>
      <c r="I26" s="13"/>
      <c r="J26" s="13"/>
      <c r="L26" s="30"/>
      <c r="O26" s="30"/>
    </row>
    <row r="27" spans="1:16" ht="15.5" x14ac:dyDescent="0.35">
      <c r="A27" s="8"/>
      <c r="B27" s="8"/>
      <c r="C27" s="9"/>
      <c r="D27" s="9"/>
      <c r="E27" s="9"/>
      <c r="F27" s="9"/>
      <c r="G27" s="9"/>
      <c r="H27" s="9"/>
      <c r="I27" s="13"/>
      <c r="J27" s="13"/>
      <c r="L27" s="30"/>
      <c r="M27" s="30"/>
      <c r="N27" s="30"/>
      <c r="O27" s="30"/>
      <c r="P27" s="30"/>
    </row>
    <row r="28" spans="1:16" ht="15.5" x14ac:dyDescent="0.35">
      <c r="A28" s="8"/>
      <c r="B28" s="52" t="s">
        <v>16</v>
      </c>
      <c r="C28" s="53"/>
      <c r="D28" s="23"/>
      <c r="E28" s="24"/>
      <c r="F28" s="9"/>
      <c r="G28" s="26">
        <f>IF(ISERROR(($D$28/(1-$F$12))),0,($D$28/(1-$F$12)))</f>
        <v>0</v>
      </c>
      <c r="H28" s="27"/>
      <c r="I28" s="54"/>
      <c r="J28" s="13"/>
      <c r="L28" s="30"/>
      <c r="M28" s="30"/>
      <c r="N28" s="30"/>
      <c r="O28" s="30"/>
      <c r="P28" s="30"/>
    </row>
    <row r="29" spans="1:16" ht="15.5" x14ac:dyDescent="0.35">
      <c r="A29" s="8"/>
      <c r="B29" s="8"/>
      <c r="C29" s="9"/>
      <c r="D29" s="9"/>
      <c r="E29" s="9"/>
      <c r="F29" s="9"/>
      <c r="G29" s="9"/>
      <c r="H29" s="9"/>
      <c r="I29" s="13"/>
      <c r="J29" s="13"/>
      <c r="L29" s="30"/>
      <c r="M29" s="30"/>
      <c r="N29" s="30"/>
      <c r="O29" s="30"/>
      <c r="P29" s="30"/>
    </row>
    <row r="30" spans="1:16" ht="15.5" x14ac:dyDescent="0.35">
      <c r="A30" s="8"/>
      <c r="B30" s="52" t="s">
        <v>5</v>
      </c>
      <c r="C30" s="53"/>
      <c r="D30" s="23"/>
      <c r="E30" s="24"/>
      <c r="F30" s="9"/>
      <c r="G30" s="26">
        <f>IF(ISERROR(((D30+$D$14)/$F$12)-$D$18),0,((D30+$D$14)/$F$12)-$D$18)</f>
        <v>0</v>
      </c>
      <c r="H30" s="27"/>
      <c r="I30" s="13"/>
      <c r="J30" s="13"/>
      <c r="L30" s="55"/>
      <c r="M30" s="30"/>
      <c r="N30" s="30"/>
      <c r="O30" s="30"/>
      <c r="P30" s="30"/>
    </row>
    <row r="31" spans="1:16" ht="15.5" x14ac:dyDescent="0.35">
      <c r="A31" s="8"/>
      <c r="B31" s="8"/>
      <c r="C31" s="9"/>
      <c r="D31" s="9"/>
      <c r="E31" s="9"/>
      <c r="F31" s="9"/>
      <c r="G31" s="9"/>
      <c r="H31" s="9"/>
      <c r="I31" s="13"/>
      <c r="J31" s="13"/>
      <c r="L31" s="30"/>
      <c r="M31" s="30"/>
      <c r="N31" s="30"/>
      <c r="O31" s="30"/>
      <c r="P31" s="30"/>
    </row>
    <row r="32" spans="1:16" ht="15.5" x14ac:dyDescent="0.35">
      <c r="A32" s="8"/>
      <c r="B32" s="52" t="s">
        <v>17</v>
      </c>
      <c r="C32" s="53"/>
      <c r="D32" s="23"/>
      <c r="E32" s="24"/>
      <c r="F32" s="9"/>
      <c r="G32" s="26">
        <f>IF(ISBLANK(D34),IF(ISERROR(((D32+$D$14)/$F$12)-$D$18),0,((D32+$D$14)/$F$12)-$D$18),0)</f>
        <v>0</v>
      </c>
      <c r="H32" s="27"/>
      <c r="I32" s="13"/>
      <c r="J32" s="13"/>
      <c r="L32" s="30"/>
      <c r="M32" s="55"/>
      <c r="N32" s="30"/>
      <c r="O32" s="30"/>
      <c r="P32" s="30"/>
    </row>
    <row r="33" spans="1:16" ht="15.5" x14ac:dyDescent="0.35">
      <c r="A33" s="8"/>
      <c r="B33" s="52" t="s">
        <v>18</v>
      </c>
      <c r="C33" s="53"/>
      <c r="D33" s="9"/>
      <c r="E33" s="9"/>
      <c r="F33" s="9"/>
      <c r="G33" s="9"/>
      <c r="H33" s="9"/>
      <c r="I33" s="13"/>
      <c r="J33" s="13"/>
      <c r="L33" s="30"/>
      <c r="M33" s="30"/>
      <c r="N33" s="30"/>
      <c r="O33" s="30"/>
      <c r="P33" s="30"/>
    </row>
    <row r="34" spans="1:16" ht="15.5" x14ac:dyDescent="0.35">
      <c r="A34" s="8"/>
      <c r="B34" s="56" t="s">
        <v>19</v>
      </c>
      <c r="C34" s="57"/>
      <c r="D34" s="58"/>
      <c r="E34" s="59"/>
      <c r="F34" s="9"/>
      <c r="G34" s="60">
        <f>IF(AND(ISBLANK(D28),ISBLANK(D30),ISBLANK(D32),NOT(ISBLANK(D34))),(($D$14+($D$8*($D$34)))/$F$12)-D18,IF(ISBLANK(D34),0,IF(ISERROR(((G28+G30)/(1-D34))),0,((G28+G30)/(1-D34)))))</f>
        <v>0</v>
      </c>
      <c r="H34" s="61"/>
      <c r="I34" s="13"/>
      <c r="J34" s="13"/>
      <c r="L34" s="30"/>
      <c r="M34" s="30"/>
      <c r="N34" s="30"/>
      <c r="O34" s="30"/>
      <c r="P34" s="30"/>
    </row>
    <row r="35" spans="1:16" ht="15.5" x14ac:dyDescent="0.35">
      <c r="A35" s="8"/>
      <c r="B35" s="56"/>
      <c r="C35" s="57"/>
      <c r="D35" s="62"/>
      <c r="E35" s="63"/>
      <c r="F35" s="9"/>
      <c r="G35" s="64"/>
      <c r="H35" s="65"/>
      <c r="I35" s="13"/>
      <c r="J35" s="13"/>
      <c r="L35" s="66"/>
      <c r="M35" s="67"/>
      <c r="N35" s="30"/>
      <c r="O35" s="30"/>
      <c r="P35" s="30"/>
    </row>
    <row r="36" spans="1:16" ht="16" thickBot="1" x14ac:dyDescent="0.4">
      <c r="A36" s="8"/>
      <c r="B36" s="68"/>
      <c r="C36" s="69"/>
      <c r="D36" s="70"/>
      <c r="E36" s="70"/>
      <c r="F36" s="70"/>
      <c r="G36" s="70"/>
      <c r="H36" s="70"/>
      <c r="I36" s="71"/>
      <c r="J36" s="13"/>
    </row>
    <row r="37" spans="1:16" ht="16" thickBot="1" x14ac:dyDescent="0.4">
      <c r="A37" s="8"/>
      <c r="B37" s="9"/>
      <c r="C37" s="9"/>
      <c r="D37" s="9"/>
      <c r="E37" s="9"/>
      <c r="F37" s="9"/>
      <c r="G37" s="9"/>
      <c r="H37" s="9"/>
      <c r="I37" s="9"/>
      <c r="J37" s="13"/>
      <c r="N37" s="30"/>
    </row>
    <row r="38" spans="1:16" ht="15.75" customHeight="1" x14ac:dyDescent="0.35">
      <c r="A38" s="8"/>
      <c r="B38" s="17" t="s">
        <v>20</v>
      </c>
      <c r="C38" s="18"/>
      <c r="D38" s="18"/>
      <c r="E38" s="18"/>
      <c r="F38" s="18"/>
      <c r="G38" s="18"/>
      <c r="H38" s="18"/>
      <c r="I38" s="19"/>
      <c r="J38" s="13"/>
      <c r="N38" s="30"/>
      <c r="O38" s="67"/>
    </row>
    <row r="39" spans="1:16" ht="15.5" x14ac:dyDescent="0.35">
      <c r="A39" s="8"/>
      <c r="B39" s="20"/>
      <c r="C39" s="21"/>
      <c r="D39" s="21"/>
      <c r="E39" s="21"/>
      <c r="F39" s="21"/>
      <c r="G39" s="21"/>
      <c r="H39" s="21"/>
      <c r="I39" s="22"/>
      <c r="J39" s="13"/>
    </row>
    <row r="40" spans="1:16" ht="15.5" x14ac:dyDescent="0.35">
      <c r="A40" s="8"/>
      <c r="B40" s="8" t="s">
        <v>7</v>
      </c>
      <c r="C40" s="9"/>
      <c r="D40" s="31">
        <f>IF(ISERROR(IF(ISBLANK(D34),D18+G28+G30+G32,D18+G34)),0,IF(ISBLANK(D34),D18+G28+G30+G32,D18+G34))</f>
        <v>5494396.5888820374</v>
      </c>
      <c r="E40" s="32"/>
      <c r="F40" s="9"/>
      <c r="G40" s="9"/>
      <c r="H40" s="9"/>
      <c r="I40" s="13"/>
      <c r="J40" s="13"/>
    </row>
    <row r="41" spans="1:16" ht="16" thickBot="1" x14ac:dyDescent="0.4">
      <c r="A41" s="8"/>
      <c r="B41" s="8"/>
      <c r="C41" s="9"/>
      <c r="D41" s="9"/>
      <c r="E41" s="9"/>
      <c r="F41" s="9"/>
      <c r="G41" s="9"/>
      <c r="H41" s="33" t="s">
        <v>8</v>
      </c>
      <c r="I41" s="34">
        <v>5</v>
      </c>
      <c r="J41" s="13"/>
    </row>
    <row r="42" spans="1:16" ht="15.5" x14ac:dyDescent="0.35">
      <c r="A42" s="8"/>
      <c r="B42" s="35" t="s">
        <v>9</v>
      </c>
      <c r="C42" s="36"/>
      <c r="D42" s="37" t="s">
        <v>10</v>
      </c>
      <c r="E42" s="38"/>
      <c r="F42" s="39" t="s">
        <v>11</v>
      </c>
      <c r="G42" s="40"/>
      <c r="H42" s="41" t="s">
        <v>12</v>
      </c>
      <c r="I42" s="42"/>
      <c r="J42" s="13"/>
    </row>
    <row r="43" spans="1:16" ht="16" thickBot="1" x14ac:dyDescent="0.4">
      <c r="A43" s="8"/>
      <c r="B43" s="43">
        <f>D40/4</f>
        <v>1373599.1472205094</v>
      </c>
      <c r="C43" s="44"/>
      <c r="D43" s="45">
        <f>B43/3</f>
        <v>457866.38240683643</v>
      </c>
      <c r="E43" s="46"/>
      <c r="F43" s="47">
        <f>D43/4.333</f>
        <v>105669.60129398486</v>
      </c>
      <c r="G43" s="48"/>
      <c r="H43" s="49">
        <f>IF(ISERROR(F43/I41),0,F43/I41)</f>
        <v>21133.92025879697</v>
      </c>
      <c r="I43" s="50"/>
      <c r="J43" s="13"/>
    </row>
    <row r="44" spans="1:16" ht="16" thickBot="1" x14ac:dyDescent="0.4">
      <c r="A44" s="72"/>
      <c r="B44" s="70"/>
      <c r="C44" s="70"/>
      <c r="D44" s="70"/>
      <c r="E44" s="70"/>
      <c r="F44" s="70"/>
      <c r="G44" s="70"/>
      <c r="H44" s="70"/>
      <c r="I44" s="70"/>
      <c r="J44" s="71"/>
    </row>
    <row r="45" spans="1:16" s="7" customFormat="1" x14ac:dyDescent="0.35"/>
    <row r="46" spans="1:16" s="7" customFormat="1" x14ac:dyDescent="0.35"/>
    <row r="47" spans="1:16" s="7" customFormat="1" x14ac:dyDescent="0.35"/>
    <row r="48" spans="1:16" s="7" customFormat="1" x14ac:dyDescent="0.35"/>
    <row r="49" s="7" customFormat="1" x14ac:dyDescent="0.35"/>
    <row r="50" s="7" customFormat="1" x14ac:dyDescent="0.35"/>
    <row r="51" s="7" customFormat="1" x14ac:dyDescent="0.35"/>
    <row r="52" s="7" customFormat="1" x14ac:dyDescent="0.35"/>
    <row r="53" s="7" customFormat="1" x14ac:dyDescent="0.35"/>
    <row r="54" s="7" customFormat="1" x14ac:dyDescent="0.35"/>
    <row r="55" s="7" customFormat="1" x14ac:dyDescent="0.35"/>
    <row r="56" s="7" customFormat="1" x14ac:dyDescent="0.35"/>
    <row r="57" s="7" customFormat="1" x14ac:dyDescent="0.35"/>
    <row r="58" s="7" customFormat="1" x14ac:dyDescent="0.35"/>
    <row r="59" s="7" customFormat="1" x14ac:dyDescent="0.35"/>
    <row r="60" s="7" customFormat="1" x14ac:dyDescent="0.35"/>
    <row r="61" s="7" customFormat="1" x14ac:dyDescent="0.35"/>
    <row r="62" s="7" customFormat="1" x14ac:dyDescent="0.35"/>
    <row r="63" s="7" customFormat="1" x14ac:dyDescent="0.35"/>
    <row r="64" s="7" customFormat="1" x14ac:dyDescent="0.35"/>
    <row r="65" s="7" customFormat="1" x14ac:dyDescent="0.35"/>
    <row r="66" s="7" customFormat="1" x14ac:dyDescent="0.35"/>
    <row r="67" s="7" customFormat="1" x14ac:dyDescent="0.35"/>
    <row r="68" s="7" customFormat="1" x14ac:dyDescent="0.35"/>
    <row r="69" s="7" customFormat="1" x14ac:dyDescent="0.35"/>
    <row r="70" s="7" customFormat="1" x14ac:dyDescent="0.35"/>
    <row r="71" s="7" customFormat="1" x14ac:dyDescent="0.35"/>
    <row r="72" s="7" customFormat="1" x14ac:dyDescent="0.35"/>
    <row r="73" s="7" customFormat="1" x14ac:dyDescent="0.35"/>
    <row r="74" s="7" customFormat="1" x14ac:dyDescent="0.35"/>
    <row r="75" s="7" customFormat="1" x14ac:dyDescent="0.35"/>
    <row r="76" s="7" customFormat="1" x14ac:dyDescent="0.35"/>
    <row r="77" s="7" customFormat="1" x14ac:dyDescent="0.35"/>
    <row r="78" s="7" customFormat="1" x14ac:dyDescent="0.35"/>
    <row r="79" s="7" customFormat="1" x14ac:dyDescent="0.35"/>
    <row r="80" s="7" customFormat="1" x14ac:dyDescent="0.35"/>
    <row r="81" s="7" customFormat="1" x14ac:dyDescent="0.35"/>
    <row r="82" s="7" customFormat="1" x14ac:dyDescent="0.35"/>
    <row r="83" s="7" customFormat="1" x14ac:dyDescent="0.35"/>
    <row r="84" s="7" customFormat="1" x14ac:dyDescent="0.35"/>
    <row r="85" s="7" customFormat="1" x14ac:dyDescent="0.35"/>
    <row r="86" s="7" customFormat="1" x14ac:dyDescent="0.35"/>
    <row r="87" s="7" customFormat="1" x14ac:dyDescent="0.35"/>
    <row r="88" s="7" customFormat="1" x14ac:dyDescent="0.35"/>
    <row r="89" s="7" customFormat="1" x14ac:dyDescent="0.35"/>
    <row r="90" s="7" customFormat="1" x14ac:dyDescent="0.35"/>
    <row r="91" s="7" customFormat="1" x14ac:dyDescent="0.35"/>
    <row r="92" s="7" customFormat="1" x14ac:dyDescent="0.35"/>
    <row r="93" s="7" customFormat="1" x14ac:dyDescent="0.35"/>
    <row r="94" s="7" customFormat="1" x14ac:dyDescent="0.35"/>
    <row r="95" s="7" customFormat="1" x14ac:dyDescent="0.35"/>
    <row r="96" s="7" customFormat="1" x14ac:dyDescent="0.35"/>
    <row r="97" s="7" customFormat="1" x14ac:dyDescent="0.35"/>
    <row r="98" s="7" customFormat="1" x14ac:dyDescent="0.35"/>
    <row r="99" s="7" customFormat="1" x14ac:dyDescent="0.35"/>
    <row r="100" s="7" customFormat="1" x14ac:dyDescent="0.35"/>
    <row r="101" s="7" customFormat="1" x14ac:dyDescent="0.35"/>
    <row r="102" s="7" customFormat="1" x14ac:dyDescent="0.35"/>
    <row r="103" s="7" customFormat="1" x14ac:dyDescent="0.35"/>
    <row r="104" s="7" customFormat="1" x14ac:dyDescent="0.35"/>
    <row r="105" s="7" customFormat="1" x14ac:dyDescent="0.35"/>
    <row r="106" s="7" customFormat="1" x14ac:dyDescent="0.35"/>
    <row r="107" s="7" customFormat="1" x14ac:dyDescent="0.35"/>
    <row r="108" s="7" customFormat="1" x14ac:dyDescent="0.35"/>
    <row r="109" s="7" customFormat="1" x14ac:dyDescent="0.35"/>
    <row r="110" s="7" customFormat="1" x14ac:dyDescent="0.35"/>
    <row r="111" s="7" customFormat="1" x14ac:dyDescent="0.35"/>
    <row r="112" s="7" customFormat="1" x14ac:dyDescent="0.35"/>
    <row r="113" s="7" customFormat="1" x14ac:dyDescent="0.35"/>
    <row r="114" s="7" customFormat="1" x14ac:dyDescent="0.35"/>
    <row r="115" s="7" customFormat="1" x14ac:dyDescent="0.35"/>
    <row r="116" s="7" customFormat="1" x14ac:dyDescent="0.35"/>
    <row r="117" s="7" customFormat="1" x14ac:dyDescent="0.35"/>
    <row r="118" s="7" customFormat="1" x14ac:dyDescent="0.35"/>
    <row r="119" s="7" customFormat="1" x14ac:dyDescent="0.35"/>
    <row r="120" s="7" customFormat="1" x14ac:dyDescent="0.35"/>
    <row r="121" s="7" customFormat="1" x14ac:dyDescent="0.35"/>
    <row r="122" s="7" customFormat="1" x14ac:dyDescent="0.35"/>
    <row r="123" s="7" customFormat="1" x14ac:dyDescent="0.35"/>
    <row r="124" s="7" customFormat="1" x14ac:dyDescent="0.35"/>
    <row r="125" s="7" customFormat="1" x14ac:dyDescent="0.35"/>
    <row r="126" s="7" customFormat="1" x14ac:dyDescent="0.35"/>
    <row r="127" s="7" customFormat="1" x14ac:dyDescent="0.35"/>
    <row r="128" s="7" customFormat="1" x14ac:dyDescent="0.35"/>
    <row r="129" s="7" customFormat="1" x14ac:dyDescent="0.35"/>
    <row r="130" s="7" customFormat="1" x14ac:dyDescent="0.35"/>
    <row r="131" s="7" customFormat="1" x14ac:dyDescent="0.35"/>
    <row r="132" s="7" customFormat="1" x14ac:dyDescent="0.35"/>
    <row r="133" s="7" customFormat="1" x14ac:dyDescent="0.35"/>
    <row r="134" s="7" customFormat="1" x14ac:dyDescent="0.35"/>
    <row r="135" s="7" customFormat="1" x14ac:dyDescent="0.35"/>
    <row r="136" s="7" customFormat="1" x14ac:dyDescent="0.35"/>
    <row r="137" s="7" customFormat="1" x14ac:dyDescent="0.35"/>
    <row r="138" s="7" customFormat="1" x14ac:dyDescent="0.35"/>
    <row r="139" s="7" customFormat="1" x14ac:dyDescent="0.35"/>
    <row r="140" s="7" customFormat="1" x14ac:dyDescent="0.35"/>
    <row r="141" s="7" customFormat="1" x14ac:dyDescent="0.35"/>
    <row r="142" s="7" customFormat="1" x14ac:dyDescent="0.35"/>
    <row r="143" s="7" customFormat="1" x14ac:dyDescent="0.35"/>
    <row r="144" s="7" customFormat="1" x14ac:dyDescent="0.35"/>
    <row r="145" s="7" customFormat="1" x14ac:dyDescent="0.35"/>
    <row r="146" s="7" customFormat="1" x14ac:dyDescent="0.35"/>
    <row r="147" s="7" customFormat="1" x14ac:dyDescent="0.35"/>
    <row r="148" s="7" customFormat="1" x14ac:dyDescent="0.35"/>
    <row r="149" s="7" customFormat="1" x14ac:dyDescent="0.35"/>
    <row r="150" s="7" customFormat="1" x14ac:dyDescent="0.35"/>
    <row r="151" s="7" customFormat="1" x14ac:dyDescent="0.35"/>
    <row r="152" s="7" customFormat="1" x14ac:dyDescent="0.35"/>
    <row r="153" s="7" customFormat="1" x14ac:dyDescent="0.35"/>
    <row r="154" s="7" customFormat="1" x14ac:dyDescent="0.35"/>
    <row r="155" s="7" customFormat="1" x14ac:dyDescent="0.35"/>
    <row r="156" s="7" customFormat="1" x14ac:dyDescent="0.35"/>
    <row r="157" s="7" customFormat="1" x14ac:dyDescent="0.35"/>
    <row r="158" s="7" customFormat="1" x14ac:dyDescent="0.35"/>
    <row r="159" s="7" customFormat="1" x14ac:dyDescent="0.35"/>
    <row r="160" s="7" customFormat="1" x14ac:dyDescent="0.35"/>
    <row r="161" s="7" customFormat="1" x14ac:dyDescent="0.35"/>
    <row r="162" s="7" customFormat="1" x14ac:dyDescent="0.35"/>
    <row r="163" s="7" customFormat="1" x14ac:dyDescent="0.35"/>
    <row r="164" s="7" customFormat="1" x14ac:dyDescent="0.35"/>
    <row r="165" s="7" customFormat="1" x14ac:dyDescent="0.35"/>
    <row r="166" s="7" customFormat="1" x14ac:dyDescent="0.35"/>
    <row r="167" s="7" customFormat="1" x14ac:dyDescent="0.35"/>
    <row r="168" s="7" customFormat="1" x14ac:dyDescent="0.35"/>
    <row r="169" s="7" customFormat="1" x14ac:dyDescent="0.35"/>
    <row r="170" s="7" customFormat="1" x14ac:dyDescent="0.35"/>
    <row r="171" s="7" customFormat="1" x14ac:dyDescent="0.35"/>
    <row r="172" s="7" customFormat="1" x14ac:dyDescent="0.35"/>
    <row r="173" s="7" customFormat="1" x14ac:dyDescent="0.35"/>
    <row r="174" s="7" customFormat="1" x14ac:dyDescent="0.35"/>
    <row r="175" s="7" customFormat="1" x14ac:dyDescent="0.35"/>
    <row r="176" s="7" customFormat="1" x14ac:dyDescent="0.35"/>
    <row r="177" s="7" customFormat="1" x14ac:dyDescent="0.35"/>
    <row r="178" s="7" customFormat="1" x14ac:dyDescent="0.35"/>
    <row r="179" s="7" customFormat="1" x14ac:dyDescent="0.35"/>
    <row r="180" s="7" customFormat="1" x14ac:dyDescent="0.35"/>
    <row r="181" s="7" customFormat="1" x14ac:dyDescent="0.35"/>
    <row r="182" s="7" customFormat="1" x14ac:dyDescent="0.35"/>
    <row r="183" s="7" customFormat="1" x14ac:dyDescent="0.35"/>
    <row r="184" s="7" customFormat="1" x14ac:dyDescent="0.35"/>
    <row r="185" s="7" customFormat="1" x14ac:dyDescent="0.35"/>
    <row r="186" s="7" customFormat="1" x14ac:dyDescent="0.35"/>
    <row r="187" s="7" customFormat="1" x14ac:dyDescent="0.35"/>
    <row r="188" s="7" customFormat="1" x14ac:dyDescent="0.35"/>
    <row r="189" s="7" customFormat="1" x14ac:dyDescent="0.35"/>
    <row r="190" s="7" customFormat="1" x14ac:dyDescent="0.35"/>
    <row r="191" s="7" customFormat="1" x14ac:dyDescent="0.35"/>
    <row r="192" s="7" customFormat="1" x14ac:dyDescent="0.35"/>
    <row r="193" s="7" customFormat="1" x14ac:dyDescent="0.35"/>
    <row r="194" s="7" customFormat="1" x14ac:dyDescent="0.35"/>
    <row r="195" s="7" customFormat="1" x14ac:dyDescent="0.35"/>
    <row r="196" s="7" customFormat="1" x14ac:dyDescent="0.35"/>
    <row r="197" s="7" customFormat="1" x14ac:dyDescent="0.35"/>
    <row r="198" s="7" customFormat="1" x14ac:dyDescent="0.35"/>
    <row r="199" s="7" customFormat="1" x14ac:dyDescent="0.35"/>
    <row r="200" s="7" customFormat="1" x14ac:dyDescent="0.35"/>
    <row r="201" s="7" customFormat="1" x14ac:dyDescent="0.35"/>
    <row r="202" s="7" customFormat="1" x14ac:dyDescent="0.35"/>
    <row r="203" s="7" customFormat="1" x14ac:dyDescent="0.35"/>
    <row r="204" s="7" customFormat="1" x14ac:dyDescent="0.35"/>
    <row r="205" s="7" customFormat="1" x14ac:dyDescent="0.35"/>
    <row r="206" s="7" customFormat="1" x14ac:dyDescent="0.35"/>
    <row r="207" s="7" customFormat="1" x14ac:dyDescent="0.35"/>
    <row r="208" s="7" customFormat="1" x14ac:dyDescent="0.35"/>
    <row r="209" s="7" customFormat="1" x14ac:dyDescent="0.35"/>
    <row r="210" s="7" customFormat="1" x14ac:dyDescent="0.35"/>
    <row r="211" s="7" customFormat="1" x14ac:dyDescent="0.35"/>
    <row r="212" s="7" customFormat="1" x14ac:dyDescent="0.35"/>
    <row r="213" s="7" customFormat="1" x14ac:dyDescent="0.35"/>
    <row r="214" s="7" customFormat="1" x14ac:dyDescent="0.35"/>
    <row r="215" s="7" customFormat="1" x14ac:dyDescent="0.35"/>
    <row r="216" s="7" customFormat="1" x14ac:dyDescent="0.35"/>
    <row r="217" s="7" customFormat="1" x14ac:dyDescent="0.35"/>
    <row r="218" s="7" customFormat="1" x14ac:dyDescent="0.35"/>
    <row r="219" s="7" customFormat="1" x14ac:dyDescent="0.35"/>
    <row r="220" s="7" customFormat="1" x14ac:dyDescent="0.35"/>
    <row r="221" s="7" customFormat="1" x14ac:dyDescent="0.35"/>
    <row r="222" s="7" customFormat="1" x14ac:dyDescent="0.35"/>
    <row r="223" s="7" customFormat="1" x14ac:dyDescent="0.35"/>
    <row r="224" s="7" customFormat="1" x14ac:dyDescent="0.35"/>
    <row r="225" s="7" customFormat="1" x14ac:dyDescent="0.35"/>
    <row r="226" s="7" customFormat="1" x14ac:dyDescent="0.35"/>
    <row r="227" s="7" customFormat="1" x14ac:dyDescent="0.35"/>
    <row r="228" s="7" customFormat="1" x14ac:dyDescent="0.35"/>
    <row r="229" s="7" customFormat="1" x14ac:dyDescent="0.35"/>
    <row r="230" s="7" customFormat="1" x14ac:dyDescent="0.35"/>
    <row r="231" s="7" customFormat="1" x14ac:dyDescent="0.35"/>
    <row r="232" s="7" customFormat="1" x14ac:dyDescent="0.35"/>
    <row r="233" s="7" customFormat="1" x14ac:dyDescent="0.35"/>
    <row r="234" s="7" customFormat="1" x14ac:dyDescent="0.35"/>
    <row r="235" s="7" customFormat="1" x14ac:dyDescent="0.35"/>
    <row r="236" s="7" customFormat="1" x14ac:dyDescent="0.35"/>
    <row r="237" s="7" customFormat="1" x14ac:dyDescent="0.35"/>
    <row r="238" s="7" customFormat="1" x14ac:dyDescent="0.35"/>
    <row r="239" s="7" customFormat="1" x14ac:dyDescent="0.35"/>
    <row r="240" s="7" customFormat="1" x14ac:dyDescent="0.35"/>
    <row r="241" s="7" customFormat="1" x14ac:dyDescent="0.35"/>
    <row r="242" s="7" customFormat="1" x14ac:dyDescent="0.35"/>
    <row r="243" s="7" customFormat="1" x14ac:dyDescent="0.35"/>
    <row r="244" s="7" customFormat="1" x14ac:dyDescent="0.35"/>
    <row r="245" s="7" customFormat="1" x14ac:dyDescent="0.35"/>
    <row r="246" s="7" customFormat="1" x14ac:dyDescent="0.35"/>
    <row r="247" s="7" customFormat="1" x14ac:dyDescent="0.35"/>
    <row r="248" s="7" customFormat="1" x14ac:dyDescent="0.35"/>
    <row r="249" s="7" customFormat="1" x14ac:dyDescent="0.35"/>
    <row r="250" s="7" customFormat="1" x14ac:dyDescent="0.35"/>
    <row r="251" s="7" customFormat="1" x14ac:dyDescent="0.35"/>
    <row r="252" s="7" customFormat="1" x14ac:dyDescent="0.35"/>
    <row r="253" s="7" customFormat="1" x14ac:dyDescent="0.35"/>
  </sheetData>
  <mergeCells count="43">
    <mergeCell ref="B43:C43"/>
    <mergeCell ref="D43:E43"/>
    <mergeCell ref="F43:G43"/>
    <mergeCell ref="H43:I43"/>
    <mergeCell ref="B36:C36"/>
    <mergeCell ref="B38:I39"/>
    <mergeCell ref="D40:E40"/>
    <mergeCell ref="B42:C42"/>
    <mergeCell ref="D42:E42"/>
    <mergeCell ref="F42:G42"/>
    <mergeCell ref="H42:I42"/>
    <mergeCell ref="B32:C32"/>
    <mergeCell ref="D32:E32"/>
    <mergeCell ref="G32:H32"/>
    <mergeCell ref="B33:C33"/>
    <mergeCell ref="B34:C35"/>
    <mergeCell ref="D34:E35"/>
    <mergeCell ref="G34:H35"/>
    <mergeCell ref="B28:C28"/>
    <mergeCell ref="D28:E28"/>
    <mergeCell ref="G28:H28"/>
    <mergeCell ref="B30:C30"/>
    <mergeCell ref="D30:E30"/>
    <mergeCell ref="G30:H30"/>
    <mergeCell ref="B21:C21"/>
    <mergeCell ref="D21:E21"/>
    <mergeCell ref="F21:G21"/>
    <mergeCell ref="H21:I21"/>
    <mergeCell ref="B23:I24"/>
    <mergeCell ref="B26:E26"/>
    <mergeCell ref="G26:H26"/>
    <mergeCell ref="D16:E16"/>
    <mergeCell ref="D18:E18"/>
    <mergeCell ref="B20:C20"/>
    <mergeCell ref="D20:E20"/>
    <mergeCell ref="F20:G20"/>
    <mergeCell ref="H20:I20"/>
    <mergeCell ref="F1:I3"/>
    <mergeCell ref="B5:I6"/>
    <mergeCell ref="D8:E8"/>
    <mergeCell ref="D10:E10"/>
    <mergeCell ref="D12:E12"/>
    <mergeCell ref="D14:E14"/>
  </mergeCells>
  <conditionalFormatting sqref="G32:H32">
    <cfRule type="expression" dxfId="10" priority="3">
      <formula>ISBLANK($D$34)</formula>
    </cfRule>
  </conditionalFormatting>
  <conditionalFormatting sqref="G34:H35">
    <cfRule type="expression" dxfId="9" priority="2">
      <formula>NOT(ISBLANK($D$34))</formula>
    </cfRule>
  </conditionalFormatting>
  <conditionalFormatting sqref="G28:H35">
    <cfRule type="cellIs" dxfId="8" priority="1" operator="equal">
      <formula>0</formula>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71C10-EA51-4C51-A6B0-7019553468DB}">
  <dimension ref="A1:BO319"/>
  <sheetViews>
    <sheetView workbookViewId="0">
      <selection sqref="A1:XFD1048576"/>
    </sheetView>
  </sheetViews>
  <sheetFormatPr defaultRowHeight="14.5" x14ac:dyDescent="0.35"/>
  <cols>
    <col min="1" max="1" width="2.7265625" customWidth="1"/>
    <col min="2" max="9" width="10.453125" customWidth="1"/>
    <col min="10" max="10" width="2.7265625" customWidth="1"/>
    <col min="11" max="11" width="8.7265625" style="7"/>
    <col min="12" max="12" width="11.81640625" style="7" bestFit="1" customWidth="1"/>
    <col min="13" max="13" width="10.81640625" style="7" bestFit="1" customWidth="1"/>
    <col min="14" max="67" width="8.7265625" style="7"/>
  </cols>
  <sheetData>
    <row r="1" spans="1:10" ht="15.5" x14ac:dyDescent="0.35">
      <c r="A1" s="1"/>
      <c r="B1" s="2"/>
      <c r="C1" s="2"/>
      <c r="D1" s="2"/>
      <c r="E1" s="2"/>
      <c r="F1" s="3" t="s">
        <v>65</v>
      </c>
      <c r="G1" s="4"/>
      <c r="H1" s="4"/>
      <c r="I1" s="5"/>
      <c r="J1" s="6"/>
    </row>
    <row r="2" spans="1:10" ht="15.5" x14ac:dyDescent="0.35">
      <c r="A2" s="8"/>
      <c r="B2" s="9"/>
      <c r="C2" s="9"/>
      <c r="D2" s="9"/>
      <c r="E2" s="9"/>
      <c r="F2" s="10"/>
      <c r="G2" s="11"/>
      <c r="H2" s="11"/>
      <c r="I2" s="12"/>
      <c r="J2" s="13"/>
    </row>
    <row r="3" spans="1:10" ht="16" thickBot="1" x14ac:dyDescent="0.4">
      <c r="A3" s="8"/>
      <c r="B3" s="9"/>
      <c r="C3" s="9"/>
      <c r="D3" s="9"/>
      <c r="E3" s="9"/>
      <c r="F3" s="14"/>
      <c r="G3" s="15"/>
      <c r="H3" s="15"/>
      <c r="I3" s="16"/>
      <c r="J3" s="13"/>
    </row>
    <row r="4" spans="1:10" ht="15.5" x14ac:dyDescent="0.35">
      <c r="A4" s="8"/>
      <c r="B4" s="9"/>
      <c r="C4" s="9"/>
      <c r="D4" s="9"/>
      <c r="E4" s="9"/>
      <c r="F4" s="9"/>
      <c r="G4" s="9"/>
      <c r="H4" s="9"/>
      <c r="I4" s="9"/>
      <c r="J4" s="13"/>
    </row>
    <row r="5" spans="1:10" ht="15.75" customHeight="1" x14ac:dyDescent="0.35">
      <c r="A5" s="8"/>
      <c r="B5" s="21" t="s">
        <v>66</v>
      </c>
      <c r="C5" s="21"/>
      <c r="D5" s="21"/>
      <c r="E5" s="89">
        <f>'[1]BE Tool'!D18</f>
        <v>5494396.5888820374</v>
      </c>
      <c r="F5" s="21"/>
      <c r="G5" s="21"/>
      <c r="H5" s="90"/>
      <c r="I5" s="90"/>
      <c r="J5" s="13"/>
    </row>
    <row r="6" spans="1:10" ht="15.75" customHeight="1" x14ac:dyDescent="0.35">
      <c r="A6" s="8"/>
      <c r="B6" s="21"/>
      <c r="C6" s="21"/>
      <c r="D6" s="21"/>
      <c r="E6" s="21"/>
      <c r="F6" s="21"/>
      <c r="G6" s="21"/>
      <c r="H6" s="90"/>
      <c r="I6" s="90"/>
      <c r="J6" s="13"/>
    </row>
    <row r="7" spans="1:10" ht="15.75" customHeight="1" x14ac:dyDescent="0.35">
      <c r="A7" s="8"/>
      <c r="B7" s="9"/>
      <c r="C7" s="9"/>
      <c r="D7" s="9"/>
      <c r="E7" s="9"/>
      <c r="F7" s="9"/>
      <c r="G7" s="9"/>
      <c r="H7" s="9"/>
      <c r="I7" s="9"/>
      <c r="J7" s="13"/>
    </row>
    <row r="8" spans="1:10" ht="15.75" customHeight="1" x14ac:dyDescent="0.35">
      <c r="A8" s="8"/>
      <c r="B8" s="91" t="s">
        <v>67</v>
      </c>
      <c r="C8" s="91"/>
      <c r="D8" s="91"/>
      <c r="E8" s="9"/>
      <c r="F8" s="9"/>
      <c r="G8" s="9"/>
      <c r="H8" s="9"/>
      <c r="I8" s="9"/>
      <c r="J8" s="13"/>
    </row>
    <row r="9" spans="1:10" ht="15.5" x14ac:dyDescent="0.35">
      <c r="A9" s="8"/>
      <c r="B9" s="91"/>
      <c r="C9" s="91"/>
      <c r="D9" s="91"/>
      <c r="E9" s="9"/>
      <c r="F9" s="53" t="s">
        <v>68</v>
      </c>
      <c r="G9" s="53"/>
      <c r="H9" s="9"/>
      <c r="I9" s="9"/>
      <c r="J9" s="13"/>
    </row>
    <row r="10" spans="1:10" ht="15.75" customHeight="1" x14ac:dyDescent="0.35">
      <c r="A10" s="8"/>
      <c r="B10" s="92"/>
      <c r="C10" s="93"/>
      <c r="D10" s="93"/>
      <c r="E10" s="94"/>
      <c r="F10" s="23"/>
      <c r="G10" s="24"/>
      <c r="H10" s="9"/>
      <c r="I10" s="9"/>
      <c r="J10" s="13"/>
    </row>
    <row r="11" spans="1:10" ht="15.75" customHeight="1" x14ac:dyDescent="0.35">
      <c r="A11" s="8"/>
      <c r="B11" s="92"/>
      <c r="C11" s="93"/>
      <c r="D11" s="93"/>
      <c r="E11" s="94"/>
      <c r="F11" s="23"/>
      <c r="G11" s="24"/>
      <c r="H11" s="9"/>
      <c r="I11" s="9"/>
      <c r="J11" s="13"/>
    </row>
    <row r="12" spans="1:10" ht="15.75" customHeight="1" x14ac:dyDescent="0.35">
      <c r="A12" s="8"/>
      <c r="B12" s="92"/>
      <c r="C12" s="93"/>
      <c r="D12" s="93"/>
      <c r="E12" s="94"/>
      <c r="F12" s="23"/>
      <c r="G12" s="24"/>
      <c r="H12" s="9"/>
      <c r="I12" s="9"/>
      <c r="J12" s="13"/>
    </row>
    <row r="13" spans="1:10" ht="15.75" customHeight="1" x14ac:dyDescent="0.35">
      <c r="A13" s="8"/>
      <c r="B13" s="92"/>
      <c r="C13" s="93"/>
      <c r="D13" s="93"/>
      <c r="E13" s="94"/>
      <c r="F13" s="23"/>
      <c r="G13" s="24"/>
      <c r="H13" s="9"/>
      <c r="I13" s="9"/>
      <c r="J13" s="13"/>
    </row>
    <row r="14" spans="1:10" ht="15.75" customHeight="1" x14ac:dyDescent="0.35">
      <c r="A14" s="8"/>
      <c r="B14" s="92"/>
      <c r="C14" s="93"/>
      <c r="D14" s="93"/>
      <c r="E14" s="94"/>
      <c r="F14" s="23"/>
      <c r="G14" s="24"/>
      <c r="H14" s="9"/>
      <c r="I14" s="9"/>
      <c r="J14" s="13"/>
    </row>
    <row r="15" spans="1:10" ht="15.75" customHeight="1" x14ac:dyDescent="0.35">
      <c r="A15" s="8"/>
      <c r="B15" s="92"/>
      <c r="C15" s="93"/>
      <c r="D15" s="93"/>
      <c r="E15" s="94"/>
      <c r="F15" s="23"/>
      <c r="G15" s="24"/>
      <c r="H15" s="9"/>
      <c r="I15" s="9"/>
      <c r="J15" s="13"/>
    </row>
    <row r="16" spans="1:10" ht="15.75" customHeight="1" x14ac:dyDescent="0.35">
      <c r="A16" s="8"/>
      <c r="B16" s="92"/>
      <c r="C16" s="93"/>
      <c r="D16" s="93"/>
      <c r="E16" s="94"/>
      <c r="F16" s="23"/>
      <c r="G16" s="24"/>
      <c r="H16" s="95" t="s">
        <v>69</v>
      </c>
      <c r="I16" s="57"/>
      <c r="J16" s="13"/>
    </row>
    <row r="17" spans="1:13" ht="15.75" customHeight="1" x14ac:dyDescent="0.35">
      <c r="A17" s="8"/>
      <c r="B17" s="92"/>
      <c r="C17" s="93"/>
      <c r="D17" s="93"/>
      <c r="E17" s="94"/>
      <c r="F17" s="23"/>
      <c r="G17" s="24"/>
      <c r="H17" s="96"/>
      <c r="I17" s="97"/>
      <c r="J17" s="13"/>
    </row>
    <row r="18" spans="1:13" ht="15.75" customHeight="1" x14ac:dyDescent="0.35">
      <c r="A18" s="8"/>
      <c r="B18" s="98" t="s">
        <v>70</v>
      </c>
      <c r="C18" s="98"/>
      <c r="D18" s="98"/>
      <c r="E18" s="98"/>
      <c r="F18" s="99">
        <f>SUM(F10:G17)</f>
        <v>0</v>
      </c>
      <c r="G18" s="99"/>
      <c r="H18" s="26">
        <f>IF(ISERROR((F18/(1-'[1]BE Tool'!$F$12))),0,(F18/(1-'[1]BE Tool'!$F$12)))</f>
        <v>0</v>
      </c>
      <c r="I18" s="27"/>
      <c r="J18" s="13"/>
    </row>
    <row r="19" spans="1:13" ht="15.5" x14ac:dyDescent="0.35">
      <c r="A19" s="8"/>
      <c r="B19" s="9"/>
      <c r="C19" s="9"/>
      <c r="D19" s="9"/>
      <c r="E19" s="9"/>
      <c r="F19" s="9"/>
      <c r="G19" s="9"/>
      <c r="H19" s="9"/>
      <c r="I19" s="9"/>
      <c r="J19" s="13"/>
    </row>
    <row r="20" spans="1:13" ht="15.5" x14ac:dyDescent="0.35">
      <c r="A20" s="8"/>
      <c r="B20" s="91" t="s">
        <v>71</v>
      </c>
      <c r="C20" s="91"/>
      <c r="D20" s="91"/>
      <c r="E20" s="9"/>
      <c r="F20" s="9"/>
      <c r="G20" s="9"/>
      <c r="H20" s="9"/>
      <c r="I20" s="9"/>
      <c r="J20" s="13"/>
    </row>
    <row r="21" spans="1:13" ht="15.5" x14ac:dyDescent="0.35">
      <c r="A21" s="8"/>
      <c r="B21" s="91"/>
      <c r="C21" s="91"/>
      <c r="D21" s="91"/>
      <c r="E21" s="9"/>
      <c r="F21" s="53" t="s">
        <v>68</v>
      </c>
      <c r="G21" s="53"/>
      <c r="H21" s="9"/>
      <c r="I21" s="9"/>
      <c r="J21" s="13"/>
    </row>
    <row r="22" spans="1:13" ht="15.5" x14ac:dyDescent="0.35">
      <c r="A22" s="8"/>
      <c r="B22" s="92"/>
      <c r="C22" s="93"/>
      <c r="D22" s="93"/>
      <c r="E22" s="94"/>
      <c r="F22" s="23"/>
      <c r="G22" s="24"/>
      <c r="H22" s="9"/>
      <c r="I22" s="9"/>
      <c r="J22" s="13"/>
    </row>
    <row r="23" spans="1:13" ht="15.5" x14ac:dyDescent="0.35">
      <c r="A23" s="8"/>
      <c r="B23" s="92"/>
      <c r="C23" s="93"/>
      <c r="D23" s="93"/>
      <c r="E23" s="94"/>
      <c r="F23" s="23"/>
      <c r="G23" s="24"/>
      <c r="H23" s="9"/>
      <c r="I23" s="9"/>
      <c r="J23" s="13"/>
    </row>
    <row r="24" spans="1:13" ht="15.5" x14ac:dyDescent="0.35">
      <c r="A24" s="8"/>
      <c r="B24" s="92"/>
      <c r="C24" s="93"/>
      <c r="D24" s="93"/>
      <c r="E24" s="94"/>
      <c r="F24" s="23"/>
      <c r="G24" s="24"/>
      <c r="H24" s="9"/>
      <c r="I24" s="9"/>
      <c r="J24" s="13"/>
    </row>
    <row r="25" spans="1:13" ht="15.5" x14ac:dyDescent="0.35">
      <c r="A25" s="8"/>
      <c r="B25" s="92"/>
      <c r="C25" s="93"/>
      <c r="D25" s="93"/>
      <c r="E25" s="94"/>
      <c r="F25" s="23"/>
      <c r="G25" s="24"/>
      <c r="H25" s="9"/>
      <c r="I25" s="9"/>
      <c r="J25" s="13"/>
    </row>
    <row r="26" spans="1:13" ht="15.5" x14ac:dyDescent="0.35">
      <c r="A26" s="8"/>
      <c r="B26" s="92"/>
      <c r="C26" s="93"/>
      <c r="D26" s="93"/>
      <c r="E26" s="94"/>
      <c r="F26" s="23"/>
      <c r="G26" s="24"/>
      <c r="H26" s="9"/>
      <c r="I26" s="9"/>
      <c r="J26" s="13"/>
    </row>
    <row r="27" spans="1:13" ht="15.5" x14ac:dyDescent="0.35">
      <c r="A27" s="8"/>
      <c r="B27" s="92"/>
      <c r="C27" s="93"/>
      <c r="D27" s="93"/>
      <c r="E27" s="94"/>
      <c r="F27" s="23"/>
      <c r="G27" s="24"/>
      <c r="H27" s="100"/>
      <c r="I27" s="100"/>
      <c r="J27" s="13"/>
    </row>
    <row r="28" spans="1:13" ht="15.5" x14ac:dyDescent="0.35">
      <c r="A28" s="8"/>
      <c r="B28" s="92"/>
      <c r="C28" s="93"/>
      <c r="D28" s="93"/>
      <c r="E28" s="94"/>
      <c r="F28" s="23"/>
      <c r="G28" s="24"/>
      <c r="H28" s="95" t="s">
        <v>69</v>
      </c>
      <c r="I28" s="57"/>
      <c r="J28" s="13"/>
    </row>
    <row r="29" spans="1:13" ht="15.5" x14ac:dyDescent="0.35">
      <c r="A29" s="8"/>
      <c r="B29" s="92"/>
      <c r="C29" s="93"/>
      <c r="D29" s="93"/>
      <c r="E29" s="94"/>
      <c r="F29" s="23"/>
      <c r="G29" s="24"/>
      <c r="H29" s="96"/>
      <c r="I29" s="97"/>
      <c r="J29" s="13"/>
    </row>
    <row r="30" spans="1:13" ht="15.5" x14ac:dyDescent="0.35">
      <c r="A30" s="8"/>
      <c r="B30" s="98" t="s">
        <v>72</v>
      </c>
      <c r="C30" s="98"/>
      <c r="D30" s="98"/>
      <c r="E30" s="98"/>
      <c r="F30" s="99">
        <f>SUM(F22:G29)</f>
        <v>0</v>
      </c>
      <c r="G30" s="99"/>
      <c r="H30" s="26">
        <f>IF(ISERROR(((F30+'[1]BE Tool'!$D$14)/'[1]BE Tool'!$F$12)-'[1]BE Tool'!$D$18),0,((F30+'[1]BE Tool'!$D$14)/'[1]BE Tool'!$F$12)-'[1]BE Tool'!$D$18)</f>
        <v>0</v>
      </c>
      <c r="I30" s="27"/>
      <c r="J30" s="13"/>
      <c r="L30" s="30"/>
    </row>
    <row r="31" spans="1:13" ht="15.5" x14ac:dyDescent="0.35">
      <c r="A31" s="8"/>
      <c r="B31" s="9"/>
      <c r="C31" s="9"/>
      <c r="D31" s="9"/>
      <c r="E31" s="9"/>
      <c r="F31" s="9"/>
      <c r="G31" s="9"/>
      <c r="H31" s="9"/>
      <c r="I31" s="9"/>
      <c r="J31" s="13"/>
      <c r="L31" s="25"/>
      <c r="M31" s="25"/>
    </row>
    <row r="32" spans="1:13" ht="15.5" x14ac:dyDescent="0.35">
      <c r="A32" s="8"/>
      <c r="B32" s="53" t="s">
        <v>17</v>
      </c>
      <c r="C32" s="53"/>
      <c r="D32" s="23"/>
      <c r="E32" s="24"/>
      <c r="F32" s="9"/>
      <c r="G32" s="100"/>
      <c r="H32" s="26">
        <f>IF(ISBLANK(D34),IF(ISERROR(((D32+'[1]BE Tool'!$D$14)/'[1]BE Tool'!$F$12)-'[1]BE Tool'!$D$18),0,((D32+'[1]BE Tool'!$D$14)/'[1]BE Tool'!$F$12)-'[1]BE Tool'!$D$18),0)</f>
        <v>0</v>
      </c>
      <c r="I32" s="27"/>
      <c r="J32" s="13"/>
    </row>
    <row r="33" spans="1:12" ht="15.5" x14ac:dyDescent="0.35">
      <c r="A33" s="8"/>
      <c r="B33" s="53" t="s">
        <v>18</v>
      </c>
      <c r="C33" s="53"/>
      <c r="D33" s="9"/>
      <c r="E33" s="9"/>
      <c r="F33" s="9"/>
      <c r="G33" s="100"/>
      <c r="H33" s="9"/>
      <c r="I33" s="9"/>
      <c r="J33" s="13"/>
    </row>
    <row r="34" spans="1:12" ht="15.5" x14ac:dyDescent="0.35">
      <c r="A34" s="8"/>
      <c r="B34" s="57" t="s">
        <v>19</v>
      </c>
      <c r="C34" s="57"/>
      <c r="D34" s="58">
        <v>0.15</v>
      </c>
      <c r="E34" s="59"/>
      <c r="F34" s="101" t="str">
        <f>IF(ISBLANK(D34),"","Profit $'s")</f>
        <v>Profit $'s</v>
      </c>
      <c r="G34" s="102"/>
      <c r="H34" s="60">
        <f>IF(ISERROR(IF(ISBLANK(D34),0,(H30+H18)/(1-D34))),0,IF(ISBLANK(D34),0,(H30+H18)/(1-D34)))</f>
        <v>0</v>
      </c>
      <c r="I34" s="61"/>
      <c r="J34" s="13"/>
      <c r="L34" s="25"/>
    </row>
    <row r="35" spans="1:12" ht="15.5" x14ac:dyDescent="0.35">
      <c r="A35" s="8"/>
      <c r="B35" s="57"/>
      <c r="C35" s="57"/>
      <c r="D35" s="62"/>
      <c r="E35" s="63"/>
      <c r="F35" s="103">
        <f>IF(ISBLANK(D34),"",H34*D34)</f>
        <v>0</v>
      </c>
      <c r="G35" s="104"/>
      <c r="H35" s="64"/>
      <c r="I35" s="65"/>
      <c r="J35" s="13"/>
    </row>
    <row r="36" spans="1:12" ht="15.5" x14ac:dyDescent="0.35">
      <c r="A36" s="8"/>
      <c r="B36" s="9"/>
      <c r="C36" s="9"/>
      <c r="D36" s="9"/>
      <c r="E36" s="9"/>
      <c r="F36" s="9"/>
      <c r="G36" s="9"/>
      <c r="H36" s="9"/>
      <c r="I36" s="9"/>
      <c r="J36" s="13"/>
    </row>
    <row r="37" spans="1:12" ht="17.5" x14ac:dyDescent="0.35">
      <c r="A37" s="8"/>
      <c r="B37" s="105" t="s">
        <v>73</v>
      </c>
      <c r="C37" s="105"/>
      <c r="D37" s="105"/>
      <c r="E37" s="105"/>
      <c r="F37" s="105"/>
      <c r="G37" s="105"/>
      <c r="H37" s="105"/>
      <c r="I37" s="105"/>
      <c r="J37" s="13"/>
    </row>
    <row r="38" spans="1:12" ht="15.5" x14ac:dyDescent="0.35">
      <c r="A38" s="8"/>
      <c r="B38" s="106"/>
      <c r="C38" s="107"/>
      <c r="D38" s="107"/>
      <c r="E38" s="107"/>
      <c r="F38" s="107"/>
      <c r="G38" s="107"/>
      <c r="H38" s="107"/>
      <c r="I38" s="108"/>
      <c r="J38" s="13"/>
    </row>
    <row r="39" spans="1:12" ht="15.5" x14ac:dyDescent="0.35">
      <c r="A39" s="8"/>
      <c r="B39" s="106"/>
      <c r="C39" s="107"/>
      <c r="D39" s="107"/>
      <c r="E39" s="107"/>
      <c r="F39" s="107"/>
      <c r="G39" s="107"/>
      <c r="H39" s="107"/>
      <c r="I39" s="108"/>
      <c r="J39" s="13"/>
    </row>
    <row r="40" spans="1:12" ht="15.5" x14ac:dyDescent="0.35">
      <c r="A40" s="8"/>
      <c r="B40" s="106"/>
      <c r="C40" s="107"/>
      <c r="D40" s="107"/>
      <c r="E40" s="107"/>
      <c r="F40" s="107"/>
      <c r="G40" s="107"/>
      <c r="H40" s="107"/>
      <c r="I40" s="108"/>
      <c r="J40" s="13"/>
    </row>
    <row r="41" spans="1:12" ht="15.5" x14ac:dyDescent="0.35">
      <c r="A41" s="8"/>
      <c r="B41" s="106"/>
      <c r="C41" s="107"/>
      <c r="D41" s="107"/>
      <c r="E41" s="107"/>
      <c r="F41" s="107"/>
      <c r="G41" s="107"/>
      <c r="H41" s="107"/>
      <c r="I41" s="108"/>
      <c r="J41" s="13"/>
    </row>
    <row r="42" spans="1:12" ht="15.5" x14ac:dyDescent="0.35">
      <c r="A42" s="8"/>
      <c r="B42" s="106"/>
      <c r="C42" s="107"/>
      <c r="D42" s="107"/>
      <c r="E42" s="107"/>
      <c r="F42" s="107"/>
      <c r="G42" s="107"/>
      <c r="H42" s="107"/>
      <c r="I42" s="108"/>
      <c r="J42" s="13"/>
    </row>
    <row r="43" spans="1:12" ht="15.5" x14ac:dyDescent="0.35">
      <c r="A43" s="8"/>
      <c r="B43" s="9"/>
      <c r="C43" s="9"/>
      <c r="D43" s="9"/>
      <c r="E43" s="9"/>
      <c r="F43" s="109" t="s">
        <v>74</v>
      </c>
      <c r="G43" s="109"/>
      <c r="H43" s="110">
        <f ca="1">TODAY()</f>
        <v>43303</v>
      </c>
      <c r="I43" s="109"/>
      <c r="J43" s="13"/>
    </row>
    <row r="44" spans="1:12" ht="16" thickBot="1" x14ac:dyDescent="0.4">
      <c r="A44" s="72"/>
      <c r="B44" s="70"/>
      <c r="C44" s="70"/>
      <c r="D44" s="70"/>
      <c r="E44" s="70"/>
      <c r="F44" s="111"/>
      <c r="G44" s="111"/>
      <c r="H44" s="111"/>
      <c r="I44" s="111"/>
      <c r="J44" s="71"/>
    </row>
    <row r="45" spans="1:12" s="7" customFormat="1" x14ac:dyDescent="0.35"/>
    <row r="46" spans="1:12" s="7" customFormat="1" x14ac:dyDescent="0.35"/>
    <row r="47" spans="1:12" s="7" customFormat="1" x14ac:dyDescent="0.35"/>
    <row r="48" spans="1:12" s="7" customFormat="1" x14ac:dyDescent="0.35"/>
    <row r="49" s="7" customFormat="1" x14ac:dyDescent="0.35"/>
    <row r="50" s="7" customFormat="1" x14ac:dyDescent="0.35"/>
    <row r="51" s="7" customFormat="1" x14ac:dyDescent="0.35"/>
    <row r="52" s="7" customFormat="1" x14ac:dyDescent="0.35"/>
    <row r="53" s="7" customFormat="1" x14ac:dyDescent="0.35"/>
    <row r="54" s="7" customFormat="1" x14ac:dyDescent="0.35"/>
    <row r="55" s="7" customFormat="1" x14ac:dyDescent="0.35"/>
    <row r="56" s="7" customFormat="1" x14ac:dyDescent="0.35"/>
    <row r="57" s="7" customFormat="1" x14ac:dyDescent="0.35"/>
    <row r="58" s="7" customFormat="1" x14ac:dyDescent="0.35"/>
    <row r="59" s="7" customFormat="1" x14ac:dyDescent="0.35"/>
    <row r="60" s="7" customFormat="1" x14ac:dyDescent="0.35"/>
    <row r="61" s="7" customFormat="1" x14ac:dyDescent="0.35"/>
    <row r="62" s="7" customFormat="1" x14ac:dyDescent="0.35"/>
    <row r="63" s="7" customFormat="1" x14ac:dyDescent="0.35"/>
    <row r="64" s="7" customFormat="1" x14ac:dyDescent="0.35"/>
    <row r="65" s="7" customFormat="1" x14ac:dyDescent="0.35"/>
    <row r="66" s="7" customFormat="1" x14ac:dyDescent="0.35"/>
    <row r="67" s="7" customFormat="1" x14ac:dyDescent="0.35"/>
    <row r="68" s="7" customFormat="1" x14ac:dyDescent="0.35"/>
    <row r="69" s="7" customFormat="1" x14ac:dyDescent="0.35"/>
    <row r="70" s="7" customFormat="1" x14ac:dyDescent="0.35"/>
    <row r="71" s="7" customFormat="1" x14ac:dyDescent="0.35"/>
    <row r="72" s="7" customFormat="1" x14ac:dyDescent="0.35"/>
    <row r="73" s="7" customFormat="1" x14ac:dyDescent="0.35"/>
    <row r="74" s="7" customFormat="1" x14ac:dyDescent="0.35"/>
    <row r="75" s="7" customFormat="1" x14ac:dyDescent="0.35"/>
    <row r="76" s="7" customFormat="1" x14ac:dyDescent="0.35"/>
    <row r="77" s="7" customFormat="1" x14ac:dyDescent="0.35"/>
    <row r="78" s="7" customFormat="1" x14ac:dyDescent="0.35"/>
    <row r="79" s="7" customFormat="1" x14ac:dyDescent="0.35"/>
    <row r="80" s="7" customFormat="1" x14ac:dyDescent="0.35"/>
    <row r="81" s="7" customFormat="1" x14ac:dyDescent="0.35"/>
    <row r="82" s="7" customFormat="1" x14ac:dyDescent="0.35"/>
    <row r="83" s="7" customFormat="1" x14ac:dyDescent="0.35"/>
    <row r="84" s="7" customFormat="1" x14ac:dyDescent="0.35"/>
    <row r="85" s="7" customFormat="1" x14ac:dyDescent="0.35"/>
    <row r="86" s="7" customFormat="1" x14ac:dyDescent="0.35"/>
    <row r="87" s="7" customFormat="1" x14ac:dyDescent="0.35"/>
    <row r="88" s="7" customFormat="1" x14ac:dyDescent="0.35"/>
    <row r="89" s="7" customFormat="1" x14ac:dyDescent="0.35"/>
    <row r="90" s="7" customFormat="1" x14ac:dyDescent="0.35"/>
    <row r="91" s="7" customFormat="1" x14ac:dyDescent="0.35"/>
    <row r="92" s="7" customFormat="1" x14ac:dyDescent="0.35"/>
    <row r="93" s="7" customFormat="1" x14ac:dyDescent="0.35"/>
    <row r="94" s="7" customFormat="1" x14ac:dyDescent="0.35"/>
    <row r="95" s="7" customFormat="1" x14ac:dyDescent="0.35"/>
    <row r="96" s="7" customFormat="1" x14ac:dyDescent="0.35"/>
    <row r="97" s="7" customFormat="1" x14ac:dyDescent="0.35"/>
    <row r="98" s="7" customFormat="1" x14ac:dyDescent="0.35"/>
    <row r="99" s="7" customFormat="1" x14ac:dyDescent="0.35"/>
    <row r="100" s="7" customFormat="1" x14ac:dyDescent="0.35"/>
    <row r="101" s="7" customFormat="1" x14ac:dyDescent="0.35"/>
    <row r="102" s="7" customFormat="1" x14ac:dyDescent="0.35"/>
    <row r="103" s="7" customFormat="1" x14ac:dyDescent="0.35"/>
    <row r="104" s="7" customFormat="1" x14ac:dyDescent="0.35"/>
    <row r="105" s="7" customFormat="1" x14ac:dyDescent="0.35"/>
    <row r="106" s="7" customFormat="1" x14ac:dyDescent="0.35"/>
    <row r="107" s="7" customFormat="1" x14ac:dyDescent="0.35"/>
    <row r="108" s="7" customFormat="1" x14ac:dyDescent="0.35"/>
    <row r="109" s="7" customFormat="1" x14ac:dyDescent="0.35"/>
    <row r="110" s="7" customFormat="1" x14ac:dyDescent="0.35"/>
    <row r="111" s="7" customFormat="1" x14ac:dyDescent="0.35"/>
    <row r="112" s="7" customFormat="1" x14ac:dyDescent="0.35"/>
    <row r="113" s="7" customFormat="1" x14ac:dyDescent="0.35"/>
    <row r="114" s="7" customFormat="1" x14ac:dyDescent="0.35"/>
    <row r="115" s="7" customFormat="1" x14ac:dyDescent="0.35"/>
    <row r="116" s="7" customFormat="1" x14ac:dyDescent="0.35"/>
    <row r="117" s="7" customFormat="1" x14ac:dyDescent="0.35"/>
    <row r="118" s="7" customFormat="1" x14ac:dyDescent="0.35"/>
    <row r="119" s="7" customFormat="1" x14ac:dyDescent="0.35"/>
    <row r="120" s="7" customFormat="1" x14ac:dyDescent="0.35"/>
    <row r="121" s="7" customFormat="1" x14ac:dyDescent="0.35"/>
    <row r="122" s="7" customFormat="1" x14ac:dyDescent="0.35"/>
    <row r="123" s="7" customFormat="1" x14ac:dyDescent="0.35"/>
    <row r="124" s="7" customFormat="1" x14ac:dyDescent="0.35"/>
    <row r="125" s="7" customFormat="1" x14ac:dyDescent="0.35"/>
    <row r="126" s="7" customFormat="1" x14ac:dyDescent="0.35"/>
    <row r="127" s="7" customFormat="1" x14ac:dyDescent="0.35"/>
    <row r="128" s="7" customFormat="1" x14ac:dyDescent="0.35"/>
    <row r="129" s="7" customFormat="1" x14ac:dyDescent="0.35"/>
    <row r="130" s="7" customFormat="1" x14ac:dyDescent="0.35"/>
    <row r="131" s="7" customFormat="1" x14ac:dyDescent="0.35"/>
    <row r="132" s="7" customFormat="1" x14ac:dyDescent="0.35"/>
    <row r="133" s="7" customFormat="1" x14ac:dyDescent="0.35"/>
    <row r="134" s="7" customFormat="1" x14ac:dyDescent="0.35"/>
    <row r="135" s="7" customFormat="1" x14ac:dyDescent="0.35"/>
    <row r="136" s="7" customFormat="1" x14ac:dyDescent="0.35"/>
    <row r="137" s="7" customFormat="1" x14ac:dyDescent="0.35"/>
    <row r="138" s="7" customFormat="1" x14ac:dyDescent="0.35"/>
    <row r="139" s="7" customFormat="1" x14ac:dyDescent="0.35"/>
    <row r="140" s="7" customFormat="1" x14ac:dyDescent="0.35"/>
    <row r="141" s="7" customFormat="1" x14ac:dyDescent="0.35"/>
    <row r="142" s="7" customFormat="1" x14ac:dyDescent="0.35"/>
    <row r="143" s="7" customFormat="1" x14ac:dyDescent="0.35"/>
    <row r="144" s="7" customFormat="1" x14ac:dyDescent="0.35"/>
    <row r="145" s="7" customFormat="1" x14ac:dyDescent="0.35"/>
    <row r="146" s="7" customFormat="1" x14ac:dyDescent="0.35"/>
    <row r="147" s="7" customFormat="1" x14ac:dyDescent="0.35"/>
    <row r="148" s="7" customFormat="1" x14ac:dyDescent="0.35"/>
    <row r="149" s="7" customFormat="1" x14ac:dyDescent="0.35"/>
    <row r="150" s="7" customFormat="1" x14ac:dyDescent="0.35"/>
    <row r="151" s="7" customFormat="1" x14ac:dyDescent="0.35"/>
    <row r="152" s="7" customFormat="1" x14ac:dyDescent="0.35"/>
    <row r="153" s="7" customFormat="1" x14ac:dyDescent="0.35"/>
    <row r="154" s="7" customFormat="1" x14ac:dyDescent="0.35"/>
    <row r="155" s="7" customFormat="1" x14ac:dyDescent="0.35"/>
    <row r="156" s="7" customFormat="1" x14ac:dyDescent="0.35"/>
    <row r="157" s="7" customFormat="1" x14ac:dyDescent="0.35"/>
    <row r="158" s="7" customFormat="1" x14ac:dyDescent="0.35"/>
    <row r="159" s="7" customFormat="1" x14ac:dyDescent="0.35"/>
    <row r="160" s="7" customFormat="1" x14ac:dyDescent="0.35"/>
    <row r="161" s="7" customFormat="1" x14ac:dyDescent="0.35"/>
    <row r="162" s="7" customFormat="1" x14ac:dyDescent="0.35"/>
    <row r="163" s="7" customFormat="1" x14ac:dyDescent="0.35"/>
    <row r="164" s="7" customFormat="1" x14ac:dyDescent="0.35"/>
    <row r="165" s="7" customFormat="1" x14ac:dyDescent="0.35"/>
    <row r="166" s="7" customFormat="1" x14ac:dyDescent="0.35"/>
    <row r="167" s="7" customFormat="1" x14ac:dyDescent="0.35"/>
    <row r="168" s="7" customFormat="1" x14ac:dyDescent="0.35"/>
    <row r="169" s="7" customFormat="1" x14ac:dyDescent="0.35"/>
    <row r="170" s="7" customFormat="1" x14ac:dyDescent="0.35"/>
    <row r="171" s="7" customFormat="1" x14ac:dyDescent="0.35"/>
    <row r="172" s="7" customFormat="1" x14ac:dyDescent="0.35"/>
    <row r="173" s="7" customFormat="1" x14ac:dyDescent="0.35"/>
    <row r="174" s="7" customFormat="1" x14ac:dyDescent="0.35"/>
    <row r="175" s="7" customFormat="1" x14ac:dyDescent="0.35"/>
    <row r="176" s="7" customFormat="1" x14ac:dyDescent="0.35"/>
    <row r="177" s="7" customFormat="1" x14ac:dyDescent="0.35"/>
    <row r="178" s="7" customFormat="1" x14ac:dyDescent="0.35"/>
    <row r="179" s="7" customFormat="1" x14ac:dyDescent="0.35"/>
    <row r="180" s="7" customFormat="1" x14ac:dyDescent="0.35"/>
    <row r="181" s="7" customFormat="1" x14ac:dyDescent="0.35"/>
    <row r="182" s="7" customFormat="1" x14ac:dyDescent="0.35"/>
    <row r="183" s="7" customFormat="1" x14ac:dyDescent="0.35"/>
    <row r="184" s="7" customFormat="1" x14ac:dyDescent="0.35"/>
    <row r="185" s="7" customFormat="1" x14ac:dyDescent="0.35"/>
    <row r="186" s="7" customFormat="1" x14ac:dyDescent="0.35"/>
    <row r="187" s="7" customFormat="1" x14ac:dyDescent="0.35"/>
    <row r="188" s="7" customFormat="1" x14ac:dyDescent="0.35"/>
    <row r="189" s="7" customFormat="1" x14ac:dyDescent="0.35"/>
    <row r="190" s="7" customFormat="1" x14ac:dyDescent="0.35"/>
    <row r="191" s="7" customFormat="1" x14ac:dyDescent="0.35"/>
    <row r="192" s="7" customFormat="1" x14ac:dyDescent="0.35"/>
    <row r="193" s="7" customFormat="1" x14ac:dyDescent="0.35"/>
    <row r="194" s="7" customFormat="1" x14ac:dyDescent="0.35"/>
    <row r="195" s="7" customFormat="1" x14ac:dyDescent="0.35"/>
    <row r="196" s="7" customFormat="1" x14ac:dyDescent="0.35"/>
    <row r="197" s="7" customFormat="1" x14ac:dyDescent="0.35"/>
    <row r="198" s="7" customFormat="1" x14ac:dyDescent="0.35"/>
    <row r="199" s="7" customFormat="1" x14ac:dyDescent="0.35"/>
    <row r="200" s="7" customFormat="1" x14ac:dyDescent="0.35"/>
    <row r="201" s="7" customFormat="1" x14ac:dyDescent="0.35"/>
    <row r="202" s="7" customFormat="1" x14ac:dyDescent="0.35"/>
    <row r="203" s="7" customFormat="1" x14ac:dyDescent="0.35"/>
    <row r="204" s="7" customFormat="1" x14ac:dyDescent="0.35"/>
    <row r="205" s="7" customFormat="1" x14ac:dyDescent="0.35"/>
    <row r="206" s="7" customFormat="1" x14ac:dyDescent="0.35"/>
    <row r="207" s="7" customFormat="1" x14ac:dyDescent="0.35"/>
    <row r="208" s="7" customFormat="1" x14ac:dyDescent="0.35"/>
    <row r="209" s="7" customFormat="1" x14ac:dyDescent="0.35"/>
    <row r="210" s="7" customFormat="1" x14ac:dyDescent="0.35"/>
    <row r="211" s="7" customFormat="1" x14ac:dyDescent="0.35"/>
    <row r="212" s="7" customFormat="1" x14ac:dyDescent="0.35"/>
    <row r="213" s="7" customFormat="1" x14ac:dyDescent="0.35"/>
    <row r="214" s="7" customFormat="1" x14ac:dyDescent="0.35"/>
    <row r="215" s="7" customFormat="1" x14ac:dyDescent="0.35"/>
    <row r="216" s="7" customFormat="1" x14ac:dyDescent="0.35"/>
    <row r="217" s="7" customFormat="1" x14ac:dyDescent="0.35"/>
    <row r="218" s="7" customFormat="1" x14ac:dyDescent="0.35"/>
    <row r="219" s="7" customFormat="1" x14ac:dyDescent="0.35"/>
    <row r="220" s="7" customFormat="1" x14ac:dyDescent="0.35"/>
    <row r="221" s="7" customFormat="1" x14ac:dyDescent="0.35"/>
    <row r="222" s="7" customFormat="1" x14ac:dyDescent="0.35"/>
    <row r="223" s="7" customFormat="1" x14ac:dyDescent="0.35"/>
    <row r="224" s="7" customFormat="1" x14ac:dyDescent="0.35"/>
    <row r="225" s="7" customFormat="1" x14ac:dyDescent="0.35"/>
    <row r="226" s="7" customFormat="1" x14ac:dyDescent="0.35"/>
    <row r="227" s="7" customFormat="1" x14ac:dyDescent="0.35"/>
    <row r="228" s="7" customFormat="1" x14ac:dyDescent="0.35"/>
    <row r="229" s="7" customFormat="1" x14ac:dyDescent="0.35"/>
    <row r="230" s="7" customFormat="1" x14ac:dyDescent="0.35"/>
    <row r="231" s="7" customFormat="1" x14ac:dyDescent="0.35"/>
    <row r="232" s="7" customFormat="1" x14ac:dyDescent="0.35"/>
    <row r="233" s="7" customFormat="1" x14ac:dyDescent="0.35"/>
    <row r="234" s="7" customFormat="1" x14ac:dyDescent="0.35"/>
    <row r="235" s="7" customFormat="1" x14ac:dyDescent="0.35"/>
    <row r="236" s="7" customFormat="1" x14ac:dyDescent="0.35"/>
    <row r="237" s="7" customFormat="1" x14ac:dyDescent="0.35"/>
    <row r="238" s="7" customFormat="1" x14ac:dyDescent="0.35"/>
    <row r="239" s="7" customFormat="1" x14ac:dyDescent="0.35"/>
    <row r="240" s="7" customFormat="1" x14ac:dyDescent="0.35"/>
    <row r="241" s="7" customFormat="1" x14ac:dyDescent="0.35"/>
    <row r="242" s="7" customFormat="1" x14ac:dyDescent="0.35"/>
    <row r="243" s="7" customFormat="1" x14ac:dyDescent="0.35"/>
    <row r="244" s="7" customFormat="1" x14ac:dyDescent="0.35"/>
    <row r="245" s="7" customFormat="1" x14ac:dyDescent="0.35"/>
    <row r="246" s="7" customFormat="1" x14ac:dyDescent="0.35"/>
    <row r="247" s="7" customFormat="1" x14ac:dyDescent="0.35"/>
    <row r="248" s="7" customFormat="1" x14ac:dyDescent="0.35"/>
    <row r="249" s="7" customFormat="1" x14ac:dyDescent="0.35"/>
    <row r="250" s="7" customFormat="1" x14ac:dyDescent="0.35"/>
    <row r="251" s="7" customFormat="1" x14ac:dyDescent="0.35"/>
    <row r="252" s="7" customFormat="1" x14ac:dyDescent="0.35"/>
    <row r="253" s="7" customFormat="1" x14ac:dyDescent="0.35"/>
    <row r="254" s="7" customFormat="1" x14ac:dyDescent="0.35"/>
    <row r="255" s="7" customFormat="1" x14ac:dyDescent="0.35"/>
    <row r="256" s="7" customFormat="1" x14ac:dyDescent="0.35"/>
    <row r="257" s="7" customFormat="1" x14ac:dyDescent="0.35"/>
    <row r="258" s="7" customFormat="1" x14ac:dyDescent="0.35"/>
    <row r="259" s="7" customFormat="1" x14ac:dyDescent="0.35"/>
    <row r="260" s="7" customFormat="1" x14ac:dyDescent="0.35"/>
    <row r="261" s="7" customFormat="1" x14ac:dyDescent="0.35"/>
    <row r="262" s="7" customFormat="1" x14ac:dyDescent="0.35"/>
    <row r="263" s="7" customFormat="1" x14ac:dyDescent="0.35"/>
    <row r="264" s="7" customFormat="1" x14ac:dyDescent="0.35"/>
    <row r="265" s="7" customFormat="1" x14ac:dyDescent="0.35"/>
    <row r="266" s="7" customFormat="1" x14ac:dyDescent="0.35"/>
    <row r="267" s="7" customFormat="1" x14ac:dyDescent="0.35"/>
    <row r="268" s="7" customFormat="1" x14ac:dyDescent="0.35"/>
    <row r="269" s="7" customFormat="1" x14ac:dyDescent="0.35"/>
    <row r="270" s="7" customFormat="1" x14ac:dyDescent="0.35"/>
    <row r="271" s="7" customFormat="1" x14ac:dyDescent="0.35"/>
    <row r="272" s="7" customFormat="1" x14ac:dyDescent="0.35"/>
    <row r="273" s="7" customFormat="1" x14ac:dyDescent="0.35"/>
    <row r="274" s="7" customFormat="1" x14ac:dyDescent="0.35"/>
    <row r="275" s="7" customFormat="1" x14ac:dyDescent="0.35"/>
    <row r="276" s="7" customFormat="1" x14ac:dyDescent="0.35"/>
    <row r="277" s="7" customFormat="1" x14ac:dyDescent="0.35"/>
    <row r="278" s="7" customFormat="1" x14ac:dyDescent="0.35"/>
    <row r="279" s="7" customFormat="1" x14ac:dyDescent="0.35"/>
    <row r="280" s="7" customFormat="1" x14ac:dyDescent="0.35"/>
    <row r="281" s="7" customFormat="1" x14ac:dyDescent="0.35"/>
    <row r="282" s="7" customFormat="1" x14ac:dyDescent="0.35"/>
    <row r="283" s="7" customFormat="1" x14ac:dyDescent="0.35"/>
    <row r="284" s="7" customFormat="1" x14ac:dyDescent="0.35"/>
    <row r="285" s="7" customFormat="1" x14ac:dyDescent="0.35"/>
    <row r="286" s="7" customFormat="1" x14ac:dyDescent="0.35"/>
    <row r="287" s="7" customFormat="1" x14ac:dyDescent="0.35"/>
    <row r="288" s="7" customFormat="1" x14ac:dyDescent="0.35"/>
    <row r="289" s="7" customFormat="1" x14ac:dyDescent="0.35"/>
    <row r="290" s="7" customFormat="1" x14ac:dyDescent="0.35"/>
    <row r="291" s="7" customFormat="1" x14ac:dyDescent="0.35"/>
    <row r="292" s="7" customFormat="1" x14ac:dyDescent="0.35"/>
    <row r="293" s="7" customFormat="1" x14ac:dyDescent="0.35"/>
    <row r="294" s="7" customFormat="1" x14ac:dyDescent="0.35"/>
    <row r="295" s="7" customFormat="1" x14ac:dyDescent="0.35"/>
    <row r="296" s="7" customFormat="1" x14ac:dyDescent="0.35"/>
    <row r="297" s="7" customFormat="1" x14ac:dyDescent="0.35"/>
    <row r="298" s="7" customFormat="1" x14ac:dyDescent="0.35"/>
    <row r="299" s="7" customFormat="1" x14ac:dyDescent="0.35"/>
    <row r="300" s="7" customFormat="1" x14ac:dyDescent="0.35"/>
    <row r="301" s="7" customFormat="1" x14ac:dyDescent="0.35"/>
    <row r="302" s="7" customFormat="1" x14ac:dyDescent="0.35"/>
    <row r="303" s="7" customFormat="1" x14ac:dyDescent="0.35"/>
    <row r="304" s="7" customFormat="1" x14ac:dyDescent="0.35"/>
    <row r="305" s="7" customFormat="1" x14ac:dyDescent="0.35"/>
    <row r="306" s="7" customFormat="1" x14ac:dyDescent="0.35"/>
    <row r="307" s="7" customFormat="1" x14ac:dyDescent="0.35"/>
    <row r="308" s="7" customFormat="1" x14ac:dyDescent="0.35"/>
    <row r="309" s="7" customFormat="1" x14ac:dyDescent="0.35"/>
    <row r="310" s="7" customFormat="1" x14ac:dyDescent="0.35"/>
    <row r="311" s="7" customFormat="1" x14ac:dyDescent="0.35"/>
    <row r="312" s="7" customFormat="1" x14ac:dyDescent="0.35"/>
    <row r="313" s="7" customFormat="1" x14ac:dyDescent="0.35"/>
    <row r="314" s="7" customFormat="1" x14ac:dyDescent="0.35"/>
    <row r="315" s="7" customFormat="1" x14ac:dyDescent="0.35"/>
    <row r="316" s="7" customFormat="1" x14ac:dyDescent="0.35"/>
    <row r="317" s="7" customFormat="1" x14ac:dyDescent="0.35"/>
    <row r="318" s="7" customFormat="1" x14ac:dyDescent="0.35"/>
    <row r="319" s="7" customFormat="1" x14ac:dyDescent="0.35"/>
  </sheetData>
  <mergeCells count="64">
    <mergeCell ref="F43:G44"/>
    <mergeCell ref="H43:I44"/>
    <mergeCell ref="B37:I37"/>
    <mergeCell ref="B38:I38"/>
    <mergeCell ref="B39:I39"/>
    <mergeCell ref="B40:I40"/>
    <mergeCell ref="B41:I41"/>
    <mergeCell ref="B42:I42"/>
    <mergeCell ref="B33:C33"/>
    <mergeCell ref="B34:C35"/>
    <mergeCell ref="D34:E35"/>
    <mergeCell ref="F34:G34"/>
    <mergeCell ref="H34:I35"/>
    <mergeCell ref="F35:G35"/>
    <mergeCell ref="B30:E30"/>
    <mergeCell ref="F30:G30"/>
    <mergeCell ref="H30:I30"/>
    <mergeCell ref="B32:C32"/>
    <mergeCell ref="D32:E32"/>
    <mergeCell ref="H32:I32"/>
    <mergeCell ref="B27:E27"/>
    <mergeCell ref="F27:G27"/>
    <mergeCell ref="B28:E28"/>
    <mergeCell ref="F28:G28"/>
    <mergeCell ref="H28:I29"/>
    <mergeCell ref="B29:E29"/>
    <mergeCell ref="F29:G29"/>
    <mergeCell ref="B24:E24"/>
    <mergeCell ref="F24:G24"/>
    <mergeCell ref="B25:E25"/>
    <mergeCell ref="F25:G25"/>
    <mergeCell ref="B26:E26"/>
    <mergeCell ref="F26:G26"/>
    <mergeCell ref="B20:D21"/>
    <mergeCell ref="F21:G21"/>
    <mergeCell ref="B22:E22"/>
    <mergeCell ref="F22:G22"/>
    <mergeCell ref="B23:E23"/>
    <mergeCell ref="F23:G23"/>
    <mergeCell ref="H16:I17"/>
    <mergeCell ref="B17:E17"/>
    <mergeCell ref="F17:G17"/>
    <mergeCell ref="B18:E18"/>
    <mergeCell ref="F18:G18"/>
    <mergeCell ref="H18:I18"/>
    <mergeCell ref="B14:E14"/>
    <mergeCell ref="F14:G14"/>
    <mergeCell ref="B15:E15"/>
    <mergeCell ref="F15:G15"/>
    <mergeCell ref="B16:E16"/>
    <mergeCell ref="F16:G16"/>
    <mergeCell ref="B11:E11"/>
    <mergeCell ref="F11:G11"/>
    <mergeCell ref="B12:E12"/>
    <mergeCell ref="F12:G12"/>
    <mergeCell ref="B13:E13"/>
    <mergeCell ref="F13:G13"/>
    <mergeCell ref="F1:I3"/>
    <mergeCell ref="B5:D6"/>
    <mergeCell ref="E5:G6"/>
    <mergeCell ref="B8:D9"/>
    <mergeCell ref="F9:G9"/>
    <mergeCell ref="B10:E10"/>
    <mergeCell ref="F10:G10"/>
  </mergeCells>
  <conditionalFormatting sqref="H18:I18">
    <cfRule type="cellIs" dxfId="7" priority="7" operator="equal">
      <formula>0</formula>
    </cfRule>
  </conditionalFormatting>
  <conditionalFormatting sqref="H30:I30">
    <cfRule type="cellIs" dxfId="6" priority="6" operator="equal">
      <formula>0</formula>
    </cfRule>
  </conditionalFormatting>
  <conditionalFormatting sqref="H34:I35">
    <cfRule type="expression" dxfId="5" priority="5">
      <formula>NOT(ISBLANK($D$34))</formula>
    </cfRule>
  </conditionalFormatting>
  <conditionalFormatting sqref="H33:I35">
    <cfRule type="cellIs" dxfId="4" priority="4" operator="equal">
      <formula>0</formula>
    </cfRule>
  </conditionalFormatting>
  <conditionalFormatting sqref="H32:I32">
    <cfRule type="cellIs" dxfId="3" priority="2" operator="notEqual">
      <formula>0</formula>
    </cfRule>
    <cfRule type="cellIs" dxfId="2" priority="3" operator="equal">
      <formula>0</formula>
    </cfRule>
  </conditionalFormatting>
  <conditionalFormatting sqref="F30:G30 F35:G35 F18:G18">
    <cfRule type="cellIs" dxfId="1" priority="1" operator="equal">
      <formula>0</formula>
    </cfRule>
  </conditionalFormatting>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1670B-FAED-49C1-95F2-D09936F10483}">
  <dimension ref="A1:CO300"/>
  <sheetViews>
    <sheetView tabSelected="1" workbookViewId="0">
      <selection sqref="A1:XFD1048576"/>
    </sheetView>
  </sheetViews>
  <sheetFormatPr defaultRowHeight="14.5" x14ac:dyDescent="0.35"/>
  <cols>
    <col min="1" max="1" width="13.54296875" customWidth="1"/>
    <col min="2" max="13" width="11.54296875" customWidth="1"/>
    <col min="14" max="93" width="8.7265625" style="7"/>
  </cols>
  <sheetData>
    <row r="1" spans="1:13" x14ac:dyDescent="0.35">
      <c r="A1" s="112"/>
      <c r="B1" s="113"/>
      <c r="C1" s="113"/>
      <c r="D1" s="113"/>
      <c r="E1" s="113"/>
      <c r="F1" s="113"/>
      <c r="G1" s="113"/>
      <c r="H1" s="113"/>
      <c r="I1" s="113"/>
      <c r="J1" s="113"/>
      <c r="K1" s="113"/>
      <c r="L1" s="113"/>
      <c r="M1" s="114"/>
    </row>
    <row r="2" spans="1:13" x14ac:dyDescent="0.35">
      <c r="A2" s="115"/>
      <c r="B2" s="116"/>
      <c r="C2" s="116"/>
      <c r="D2" s="116"/>
      <c r="E2" s="116"/>
      <c r="F2" s="116"/>
      <c r="G2" s="116"/>
      <c r="H2" s="116"/>
      <c r="I2" s="116"/>
      <c r="J2" s="116"/>
      <c r="K2" s="116"/>
      <c r="L2" s="116"/>
      <c r="M2" s="117"/>
    </row>
    <row r="3" spans="1:13" x14ac:dyDescent="0.35">
      <c r="A3" s="115"/>
      <c r="B3" s="116"/>
      <c r="C3" s="116"/>
      <c r="D3" s="116"/>
      <c r="E3" s="116"/>
      <c r="F3" s="116"/>
      <c r="G3" s="116"/>
      <c r="H3" s="116"/>
      <c r="I3" s="116"/>
      <c r="J3" s="116"/>
      <c r="K3" s="116"/>
      <c r="L3" s="116"/>
      <c r="M3" s="117"/>
    </row>
    <row r="4" spans="1:13" x14ac:dyDescent="0.35">
      <c r="A4" s="115"/>
      <c r="B4" s="116"/>
      <c r="C4" s="116"/>
      <c r="D4" s="116"/>
      <c r="E4" s="116"/>
      <c r="F4" s="116"/>
      <c r="G4" s="116"/>
      <c r="H4" s="116"/>
      <c r="I4" s="116"/>
      <c r="J4" s="116"/>
      <c r="K4" s="116"/>
      <c r="L4" s="116"/>
      <c r="M4" s="117"/>
    </row>
    <row r="5" spans="1:13" x14ac:dyDescent="0.35">
      <c r="A5" s="115"/>
      <c r="B5" s="116"/>
      <c r="C5" s="116"/>
      <c r="D5" s="116"/>
      <c r="E5" s="116"/>
      <c r="F5" s="116"/>
      <c r="G5" s="116"/>
      <c r="H5" s="116"/>
      <c r="I5" s="116"/>
      <c r="J5" s="116"/>
      <c r="K5" s="116"/>
      <c r="L5" s="116"/>
      <c r="M5" s="117"/>
    </row>
    <row r="6" spans="1:13" x14ac:dyDescent="0.35">
      <c r="A6" s="115"/>
      <c r="B6" s="116"/>
      <c r="C6" s="116"/>
      <c r="D6" s="116"/>
      <c r="E6" s="116"/>
      <c r="F6" s="116"/>
      <c r="G6" s="116"/>
      <c r="H6" s="116"/>
      <c r="I6" s="116"/>
      <c r="J6" s="116"/>
      <c r="K6" s="116"/>
      <c r="L6" s="116"/>
      <c r="M6" s="117"/>
    </row>
    <row r="7" spans="1:13" x14ac:dyDescent="0.35">
      <c r="A7" s="115"/>
      <c r="B7" s="116"/>
      <c r="C7" s="116"/>
      <c r="D7" s="116"/>
      <c r="E7" s="116"/>
      <c r="F7" s="116"/>
      <c r="G7" s="116"/>
      <c r="H7" s="116"/>
      <c r="I7" s="116"/>
      <c r="J7" s="116"/>
      <c r="K7" s="116"/>
      <c r="L7" s="116"/>
      <c r="M7" s="117"/>
    </row>
    <row r="8" spans="1:13" x14ac:dyDescent="0.35">
      <c r="A8" s="115"/>
      <c r="B8" s="116"/>
      <c r="C8" s="116"/>
      <c r="D8" s="116"/>
      <c r="E8" s="116"/>
      <c r="F8" s="116"/>
      <c r="G8" s="116"/>
      <c r="H8" s="116"/>
      <c r="I8" s="116"/>
      <c r="J8" s="116"/>
      <c r="K8" s="116"/>
      <c r="L8" s="116"/>
      <c r="M8" s="117"/>
    </row>
    <row r="9" spans="1:13" x14ac:dyDescent="0.35">
      <c r="A9" s="115"/>
      <c r="B9" s="116"/>
      <c r="C9" s="116"/>
      <c r="D9" s="116"/>
      <c r="E9" s="116"/>
      <c r="F9" s="116"/>
      <c r="G9" s="116"/>
      <c r="H9" s="116"/>
      <c r="I9" s="116"/>
      <c r="J9" s="116"/>
      <c r="K9" s="116"/>
      <c r="L9" s="116"/>
      <c r="M9" s="117"/>
    </row>
    <row r="10" spans="1:13" x14ac:dyDescent="0.35">
      <c r="A10" s="115"/>
      <c r="B10" s="116"/>
      <c r="C10" s="116"/>
      <c r="D10" s="116"/>
      <c r="E10" s="116"/>
      <c r="F10" s="116"/>
      <c r="G10" s="116"/>
      <c r="H10" s="116"/>
      <c r="I10" s="116"/>
      <c r="J10" s="116"/>
      <c r="K10" s="116"/>
      <c r="L10" s="116"/>
      <c r="M10" s="117"/>
    </row>
    <row r="11" spans="1:13" x14ac:dyDescent="0.35">
      <c r="A11" s="115"/>
      <c r="B11" s="116"/>
      <c r="C11" s="116"/>
      <c r="D11" s="116"/>
      <c r="E11" s="116"/>
      <c r="F11" s="116"/>
      <c r="G11" s="116"/>
      <c r="H11" s="116"/>
      <c r="I11" s="116"/>
      <c r="J11" s="116"/>
      <c r="K11" s="116"/>
      <c r="L11" s="116"/>
      <c r="M11" s="117"/>
    </row>
    <row r="12" spans="1:13" x14ac:dyDescent="0.35">
      <c r="A12" s="115"/>
      <c r="B12" s="116"/>
      <c r="C12" s="116"/>
      <c r="D12" s="116"/>
      <c r="E12" s="116"/>
      <c r="F12" s="116"/>
      <c r="G12" s="116"/>
      <c r="H12" s="116"/>
      <c r="I12" s="116"/>
      <c r="J12" s="116"/>
      <c r="K12" s="116"/>
      <c r="L12" s="116"/>
      <c r="M12" s="117"/>
    </row>
    <row r="13" spans="1:13" x14ac:dyDescent="0.35">
      <c r="A13" s="115"/>
      <c r="B13" s="116"/>
      <c r="C13" s="116"/>
      <c r="D13" s="116"/>
      <c r="E13" s="116"/>
      <c r="F13" s="116"/>
      <c r="G13" s="116"/>
      <c r="H13" s="116"/>
      <c r="I13" s="116"/>
      <c r="J13" s="116"/>
      <c r="K13" s="116"/>
      <c r="L13" s="116"/>
      <c r="M13" s="117"/>
    </row>
    <row r="14" spans="1:13" x14ac:dyDescent="0.35">
      <c r="A14" s="115"/>
      <c r="B14" s="116"/>
      <c r="C14" s="116"/>
      <c r="D14" s="116"/>
      <c r="E14" s="116"/>
      <c r="F14" s="116"/>
      <c r="G14" s="116"/>
      <c r="H14" s="116"/>
      <c r="I14" s="116"/>
      <c r="J14" s="116"/>
      <c r="K14" s="116"/>
      <c r="L14" s="116"/>
      <c r="M14" s="117"/>
    </row>
    <row r="15" spans="1:13" x14ac:dyDescent="0.35">
      <c r="A15" s="115"/>
      <c r="B15" s="116"/>
      <c r="C15" s="116"/>
      <c r="D15" s="116"/>
      <c r="E15" s="116"/>
      <c r="F15" s="116"/>
      <c r="G15" s="116"/>
      <c r="H15" s="116"/>
      <c r="I15" s="116"/>
      <c r="J15" s="116"/>
      <c r="K15" s="116"/>
      <c r="L15" s="116"/>
      <c r="M15" s="117"/>
    </row>
    <row r="16" spans="1:13" x14ac:dyDescent="0.35">
      <c r="A16" s="115"/>
      <c r="B16" s="116"/>
      <c r="C16" s="116"/>
      <c r="D16" s="116"/>
      <c r="E16" s="116"/>
      <c r="F16" s="116"/>
      <c r="G16" s="116"/>
      <c r="H16" s="116"/>
      <c r="I16" s="116"/>
      <c r="J16" s="116"/>
      <c r="K16" s="116"/>
      <c r="L16" s="116"/>
      <c r="M16" s="117"/>
    </row>
    <row r="17" spans="1:13" x14ac:dyDescent="0.35">
      <c r="A17" s="115"/>
      <c r="B17" s="116"/>
      <c r="C17" s="116"/>
      <c r="D17" s="116"/>
      <c r="E17" s="116"/>
      <c r="F17" s="116"/>
      <c r="G17" s="116"/>
      <c r="H17" s="116"/>
      <c r="I17" s="116"/>
      <c r="J17" s="116"/>
      <c r="K17" s="116"/>
      <c r="L17" s="116"/>
      <c r="M17" s="117"/>
    </row>
    <row r="18" spans="1:13" x14ac:dyDescent="0.35">
      <c r="A18" s="115"/>
      <c r="B18" s="116"/>
      <c r="C18" s="116"/>
      <c r="D18" s="116"/>
      <c r="E18" s="116"/>
      <c r="F18" s="116"/>
      <c r="G18" s="116"/>
      <c r="H18" s="116"/>
      <c r="I18" s="116"/>
      <c r="J18" s="116"/>
      <c r="K18" s="116"/>
      <c r="L18" s="116"/>
      <c r="M18" s="117"/>
    </row>
    <row r="19" spans="1:13" x14ac:dyDescent="0.35">
      <c r="A19" s="115"/>
      <c r="B19" s="116"/>
      <c r="C19" s="116"/>
      <c r="D19" s="116"/>
      <c r="E19" s="116"/>
      <c r="F19" s="116"/>
      <c r="G19" s="116"/>
      <c r="H19" s="116"/>
      <c r="I19" s="116"/>
      <c r="J19" s="116"/>
      <c r="K19" s="116"/>
      <c r="L19" s="116"/>
      <c r="M19" s="117"/>
    </row>
    <row r="20" spans="1:13" x14ac:dyDescent="0.35">
      <c r="A20" s="115"/>
      <c r="B20" s="116"/>
      <c r="C20" s="116"/>
      <c r="D20" s="116"/>
      <c r="E20" s="116"/>
      <c r="F20" s="116"/>
      <c r="G20" s="116"/>
      <c r="H20" s="116"/>
      <c r="I20" s="116"/>
      <c r="J20" s="116"/>
      <c r="K20" s="116"/>
      <c r="L20" s="116"/>
      <c r="M20" s="117"/>
    </row>
    <row r="21" spans="1:13" x14ac:dyDescent="0.35">
      <c r="A21" s="115"/>
      <c r="B21" s="116"/>
      <c r="C21" s="116"/>
      <c r="D21" s="116"/>
      <c r="E21" s="116"/>
      <c r="F21" s="116"/>
      <c r="G21" s="116"/>
      <c r="H21" s="116"/>
      <c r="I21" s="116"/>
      <c r="J21" s="116"/>
      <c r="K21" s="116"/>
      <c r="L21" s="116"/>
      <c r="M21" s="117"/>
    </row>
    <row r="22" spans="1:13" x14ac:dyDescent="0.35">
      <c r="A22" s="115"/>
      <c r="B22" s="116"/>
      <c r="C22" s="116"/>
      <c r="D22" s="116"/>
      <c r="E22" s="116"/>
      <c r="F22" s="116"/>
      <c r="G22" s="116"/>
      <c r="H22" s="116"/>
      <c r="I22" s="116"/>
      <c r="J22" s="116"/>
      <c r="K22" s="116"/>
      <c r="L22" s="116"/>
      <c r="M22" s="117"/>
    </row>
    <row r="23" spans="1:13" x14ac:dyDescent="0.35">
      <c r="A23" s="115"/>
      <c r="B23" s="116"/>
      <c r="C23" s="116"/>
      <c r="D23" s="116"/>
      <c r="E23" s="116"/>
      <c r="F23" s="116"/>
      <c r="G23" s="116"/>
      <c r="H23" s="116"/>
      <c r="I23" s="116"/>
      <c r="J23" s="116"/>
      <c r="K23" s="116"/>
      <c r="L23" s="116"/>
      <c r="M23" s="117"/>
    </row>
    <row r="24" spans="1:13" x14ac:dyDescent="0.35">
      <c r="A24" s="115"/>
      <c r="B24" s="116"/>
      <c r="C24" s="116"/>
      <c r="D24" s="116"/>
      <c r="E24" s="116"/>
      <c r="F24" s="116"/>
      <c r="G24" s="116"/>
      <c r="H24" s="116"/>
      <c r="I24" s="116"/>
      <c r="J24" s="116"/>
      <c r="K24" s="116"/>
      <c r="L24" s="116"/>
      <c r="M24" s="117"/>
    </row>
    <row r="25" spans="1:13" x14ac:dyDescent="0.35">
      <c r="A25" s="115"/>
      <c r="B25" s="116"/>
      <c r="C25" s="116"/>
      <c r="D25" s="116"/>
      <c r="E25" s="116"/>
      <c r="F25" s="116"/>
      <c r="G25" s="116"/>
      <c r="H25" s="116"/>
      <c r="I25" s="116"/>
      <c r="J25" s="116"/>
      <c r="K25" s="116"/>
      <c r="L25" s="116"/>
      <c r="M25" s="117"/>
    </row>
    <row r="26" spans="1:13" x14ac:dyDescent="0.35">
      <c r="A26" s="115"/>
      <c r="B26" s="116"/>
      <c r="C26" s="116"/>
      <c r="D26" s="116"/>
      <c r="E26" s="116"/>
      <c r="F26" s="116"/>
      <c r="G26" s="116"/>
      <c r="H26" s="116"/>
      <c r="I26" s="116"/>
      <c r="J26" s="116"/>
      <c r="K26" s="116"/>
      <c r="L26" s="116"/>
      <c r="M26" s="117"/>
    </row>
    <row r="27" spans="1:13" x14ac:dyDescent="0.35">
      <c r="A27" s="115"/>
      <c r="B27" s="116"/>
      <c r="C27" s="116"/>
      <c r="D27" s="116"/>
      <c r="E27" s="116"/>
      <c r="F27" s="116"/>
      <c r="G27" s="116"/>
      <c r="H27" s="116"/>
      <c r="I27" s="116"/>
      <c r="J27" s="116"/>
      <c r="K27" s="116"/>
      <c r="L27" s="116"/>
      <c r="M27" s="117"/>
    </row>
    <row r="28" spans="1:13" x14ac:dyDescent="0.35">
      <c r="A28" s="115"/>
      <c r="B28" s="118" t="s">
        <v>75</v>
      </c>
      <c r="C28" s="118" t="s">
        <v>76</v>
      </c>
      <c r="D28" s="118" t="s">
        <v>77</v>
      </c>
      <c r="E28" s="118" t="s">
        <v>78</v>
      </c>
      <c r="F28" s="118" t="s">
        <v>79</v>
      </c>
      <c r="G28" s="118" t="s">
        <v>80</v>
      </c>
      <c r="H28" s="118" t="s">
        <v>81</v>
      </c>
      <c r="I28" s="118" t="s">
        <v>82</v>
      </c>
      <c r="J28" s="118" t="s">
        <v>83</v>
      </c>
      <c r="K28" s="118" t="s">
        <v>84</v>
      </c>
      <c r="L28" s="118" t="s">
        <v>85</v>
      </c>
      <c r="M28" s="119" t="s">
        <v>86</v>
      </c>
    </row>
    <row r="29" spans="1:13" x14ac:dyDescent="0.35">
      <c r="A29" s="120" t="s">
        <v>87</v>
      </c>
      <c r="B29" s="121">
        <v>7.0768122097581487E-2</v>
      </c>
      <c r="C29" s="121">
        <v>6.0798750562581896E-2</v>
      </c>
      <c r="D29" s="121">
        <v>7.2888666022180942E-2</v>
      </c>
      <c r="E29" s="121">
        <v>8.1152846970827544E-2</v>
      </c>
      <c r="F29" s="121">
        <v>7.9030129315571407E-2</v>
      </c>
      <c r="G29" s="121">
        <v>8.3519838005294639E-2</v>
      </c>
      <c r="H29" s="121">
        <v>9.9946294197767654E-2</v>
      </c>
      <c r="I29" s="121">
        <v>0.110562851556453</v>
      </c>
      <c r="J29" s="121">
        <v>9.4903372931067792E-2</v>
      </c>
      <c r="K29" s="121">
        <v>9.9475038911387051E-2</v>
      </c>
      <c r="L29" s="121">
        <v>6.8199568967067969E-2</v>
      </c>
      <c r="M29" s="122">
        <v>7.8754520462218508E-2</v>
      </c>
    </row>
    <row r="30" spans="1:13" x14ac:dyDescent="0.35">
      <c r="A30" s="120" t="s">
        <v>88</v>
      </c>
      <c r="B30" s="123">
        <f>B29*'[1]BE Tool'!$D$8</f>
        <v>890354.19609695894</v>
      </c>
      <c r="C30" s="123">
        <f>C29*'[1]BE Tool'!$D$8</f>
        <v>764926.65166675544</v>
      </c>
      <c r="D30" s="123">
        <f>D29*'[1]BE Tool'!$D$8</f>
        <v>917033.37204953888</v>
      </c>
      <c r="E30" s="123">
        <f>E29*'[1]BE Tool'!$D$8</f>
        <v>1021007.4209127559</v>
      </c>
      <c r="F30" s="123">
        <f>F29*'[1]BE Tool'!$D$8</f>
        <v>994300.89662657608</v>
      </c>
      <c r="G30" s="123">
        <f>G29*'[1]BE Tool'!$D$8</f>
        <v>1050787.2191777953</v>
      </c>
      <c r="H30" s="123">
        <f>H29*'[1]BE Tool'!$D$8</f>
        <v>1257453.2117811381</v>
      </c>
      <c r="I30" s="123">
        <f>I29*'[1]BE Tool'!$D$8</f>
        <v>1391023.188095835</v>
      </c>
      <c r="J30" s="123">
        <f>J29*'[1]BE Tool'!$D$8</f>
        <v>1194006.7619205411</v>
      </c>
      <c r="K30" s="123">
        <f>K29*'[1]BE Tool'!$D$8</f>
        <v>1251524.2128304059</v>
      </c>
      <c r="L30" s="123">
        <f>L29*'[1]BE Tool'!$D$8</f>
        <v>858038.48685011361</v>
      </c>
      <c r="M30" s="124">
        <f>M29*'[1]BE Tool'!$D$8</f>
        <v>990833.38199158467</v>
      </c>
    </row>
    <row r="31" spans="1:13" x14ac:dyDescent="0.35">
      <c r="A31" s="120" t="s">
        <v>89</v>
      </c>
      <c r="B31" s="123">
        <f>B30</f>
        <v>890354.19609695894</v>
      </c>
      <c r="C31" s="123">
        <f t="shared" ref="C31:M31" si="0">C30+B31</f>
        <v>1655280.8477637144</v>
      </c>
      <c r="D31" s="123">
        <f t="shared" si="0"/>
        <v>2572314.2198132533</v>
      </c>
      <c r="E31" s="123">
        <f t="shared" si="0"/>
        <v>3593321.6407260094</v>
      </c>
      <c r="F31" s="123">
        <f t="shared" si="0"/>
        <v>4587622.5373525852</v>
      </c>
      <c r="G31" s="123">
        <f t="shared" si="0"/>
        <v>5638409.7565303808</v>
      </c>
      <c r="H31" s="123">
        <f t="shared" si="0"/>
        <v>6895862.9683115184</v>
      </c>
      <c r="I31" s="123">
        <f t="shared" si="0"/>
        <v>8286886.1564073535</v>
      </c>
      <c r="J31" s="123">
        <f t="shared" si="0"/>
        <v>9480892.9183278941</v>
      </c>
      <c r="K31" s="123">
        <f t="shared" si="0"/>
        <v>10732417.1311583</v>
      </c>
      <c r="L31" s="123">
        <f t="shared" si="0"/>
        <v>11590455.618008412</v>
      </c>
      <c r="M31" s="124">
        <f t="shared" si="0"/>
        <v>12581288.999999996</v>
      </c>
    </row>
    <row r="32" spans="1:13" x14ac:dyDescent="0.35">
      <c r="A32" s="120" t="s">
        <v>90</v>
      </c>
      <c r="B32" s="123">
        <f>IF('[1]BE Tool'!$G$34=0,('[1]BE Tool'!$G$28+'[1]BE Tool'!$G$30+'[1]BE Tool'!$G$32+'[1]BE Tool'!$D$18)*'[1]Seasonality impact'!B29,'[1]BE Tool'!$G$34*'[1]Seasonality impact'!B29)</f>
        <v>388828.12865453924</v>
      </c>
      <c r="C32" s="123">
        <f>IF('[1]BE Tool'!$G$34=0,('[1]BE Tool'!$G$28+'[1]BE Tool'!$G$30+'[1]BE Tool'!$G$32+'[1]BE Tool'!$D$18)*'[1]Seasonality impact'!C29,'[1]BE Tool'!$G$34*'[1]Seasonality impact'!C29)</f>
        <v>334052.44769933983</v>
      </c>
      <c r="D32" s="123">
        <f>IF('[1]BE Tool'!$G$34=0,('[1]BE Tool'!$G$28+'[1]BE Tool'!$G$30+'[1]BE Tool'!$G$32+'[1]BE Tool'!$D$18)*'[1]Seasonality impact'!D29,'[1]BE Tool'!$G$34*'[1]Seasonality impact'!D29)</f>
        <v>400479.23796043301</v>
      </c>
      <c r="E32" s="123">
        <f>IF('[1]BE Tool'!$G$34=0,('[1]BE Tool'!$G$28+'[1]BE Tool'!$G$30+'[1]BE Tool'!$G$32+'[1]BE Tool'!$D$18)*'[1]Seasonality impact'!E29,'[1]BE Tool'!$G$34*'[1]Seasonality impact'!E29)</f>
        <v>445885.92557458085</v>
      </c>
      <c r="F32" s="123">
        <f>IF('[1]BE Tool'!$G$34=0,('[1]BE Tool'!$G$28+'[1]BE Tool'!$G$30+'[1]BE Tool'!$G$32+'[1]BE Tool'!$D$18)*'[1]Seasonality impact'!F29,'[1]BE Tool'!$G$34*'[1]Seasonality impact'!F29)</f>
        <v>434222.87293038185</v>
      </c>
      <c r="G32" s="123">
        <f>IF('[1]BE Tool'!$G$34=0,('[1]BE Tool'!$G$28+'[1]BE Tool'!$G$30+'[1]BE Tool'!$G$32+'[1]BE Tool'!$D$18)*'[1]Seasonality impact'!G29,'[1]BE Tool'!$G$34*'[1]Seasonality impact'!G29)</f>
        <v>458891.11304027122</v>
      </c>
      <c r="H32" s="123">
        <f>IF('[1]BE Tool'!$G$34=0,('[1]BE Tool'!$G$28+'[1]BE Tool'!$G$30+'[1]BE Tool'!$G$32+'[1]BE Tool'!$D$18)*'[1]Seasonality impact'!H29,'[1]BE Tool'!$G$34*'[1]Seasonality impact'!H29)</f>
        <v>549144.57791161514</v>
      </c>
      <c r="I32" s="123">
        <f>IF('[1]BE Tool'!$G$34=0,('[1]BE Tool'!$G$28+'[1]BE Tool'!$G$30+'[1]BE Tool'!$G$32+'[1]BE Tool'!$D$18)*'[1]Seasonality impact'!I29,'[1]BE Tool'!$G$34*'[1]Seasonality impact'!I29)</f>
        <v>607476.15444884647</v>
      </c>
      <c r="J32" s="123">
        <f>IF('[1]BE Tool'!$G$34=0,('[1]BE Tool'!$G$28+'[1]BE Tool'!$G$30+'[1]BE Tool'!$G$32+'[1]BE Tool'!$D$18)*'[1]Seasonality impact'!J29,'[1]BE Tool'!$G$34*'[1]Seasonality impact'!J29)</f>
        <v>521436.76850585878</v>
      </c>
      <c r="K32" s="123">
        <f>IF('[1]BE Tool'!$G$34=0,('[1]BE Tool'!$G$28+'[1]BE Tool'!$G$30+'[1]BE Tool'!$G$32+'[1]BE Tool'!$D$18)*'[1]Seasonality impact'!K29,'[1]BE Tool'!$G$34*'[1]Seasonality impact'!K29)</f>
        <v>546555.31447363296</v>
      </c>
      <c r="L32" s="123">
        <f>IF('[1]BE Tool'!$G$34=0,('[1]BE Tool'!$G$28+'[1]BE Tool'!$G$30+'[1]BE Tool'!$G$32+'[1]BE Tool'!$D$18)*'[1]Seasonality impact'!L29,'[1]BE Tool'!$G$34*'[1]Seasonality impact'!L29)</f>
        <v>374715.47909588349</v>
      </c>
      <c r="M32" s="124">
        <f>IF('[1]BE Tool'!$G$34=0,('[1]BE Tool'!$G$28+'[1]BE Tool'!$G$30+'[1]BE Tool'!$G$32+'[1]BE Tool'!$D$18)*'[1]Seasonality impact'!M29,'[1]BE Tool'!$G$34*'[1]Seasonality impact'!M29)</f>
        <v>432708.56858665397</v>
      </c>
    </row>
    <row r="33" spans="1:13" x14ac:dyDescent="0.35">
      <c r="A33" s="120" t="s">
        <v>91</v>
      </c>
      <c r="B33" s="123">
        <f>B32</f>
        <v>388828.12865453924</v>
      </c>
      <c r="C33" s="123">
        <f>B33+C32</f>
        <v>722880.57635387906</v>
      </c>
      <c r="D33" s="123">
        <f t="shared" ref="D33:M33" si="1">C33+D32</f>
        <v>1123359.8143143121</v>
      </c>
      <c r="E33" s="123">
        <f t="shared" si="1"/>
        <v>1569245.739888893</v>
      </c>
      <c r="F33" s="123">
        <f t="shared" si="1"/>
        <v>2003468.6128192749</v>
      </c>
      <c r="G33" s="123">
        <f t="shared" si="1"/>
        <v>2462359.7258595461</v>
      </c>
      <c r="H33" s="123">
        <f t="shared" si="1"/>
        <v>3011504.3037711615</v>
      </c>
      <c r="I33" s="123">
        <f t="shared" si="1"/>
        <v>3618980.4582200078</v>
      </c>
      <c r="J33" s="123">
        <f t="shared" si="1"/>
        <v>4140417.2267258666</v>
      </c>
      <c r="K33" s="123">
        <f t="shared" si="1"/>
        <v>4686972.5411994997</v>
      </c>
      <c r="L33" s="123">
        <f t="shared" si="1"/>
        <v>5061688.0202953834</v>
      </c>
      <c r="M33" s="124">
        <f t="shared" si="1"/>
        <v>5494396.5888820374</v>
      </c>
    </row>
    <row r="34" spans="1:13" x14ac:dyDescent="0.35">
      <c r="A34" s="120"/>
      <c r="B34" s="125"/>
      <c r="C34" s="125"/>
      <c r="D34" s="125"/>
      <c r="E34" s="125"/>
      <c r="F34" s="125"/>
      <c r="G34" s="125"/>
      <c r="H34" s="125"/>
      <c r="I34" s="125"/>
      <c r="J34" s="125"/>
      <c r="K34" s="125"/>
      <c r="L34" s="125"/>
      <c r="M34" s="126"/>
    </row>
    <row r="35" spans="1:13" x14ac:dyDescent="0.35">
      <c r="A35" s="120" t="s">
        <v>92</v>
      </c>
      <c r="B35" s="123">
        <f>B29*'[1]BE Tool'!$D$10</f>
        <v>491877.0172047345</v>
      </c>
      <c r="C35" s="123">
        <f>C29*'[1]BE Tool'!$D$10</f>
        <v>422584.45172900078</v>
      </c>
      <c r="D35" s="123">
        <f>D29*'[1]BE Tool'!$D$10</f>
        <v>506615.95317713963</v>
      </c>
      <c r="E35" s="123">
        <f>E29*'[1]BE Tool'!$D$10</f>
        <v>564056.51474885049</v>
      </c>
      <c r="F35" s="123">
        <f>F29*'[1]BE Tool'!$D$10</f>
        <v>549302.47016369831</v>
      </c>
      <c r="G35" s="123">
        <f>G29*'[1]BE Tool'!$D$10</f>
        <v>580508.39244851063</v>
      </c>
      <c r="H35" s="123">
        <f>H29*'[1]BE Tool'!$D$10</f>
        <v>694681.21540482296</v>
      </c>
      <c r="I35" s="123">
        <f>I29*'[1]BE Tool'!$D$10</f>
        <v>768472.0750714466</v>
      </c>
      <c r="J35" s="123">
        <f>J29*'[1]BE Tool'!$D$10</f>
        <v>659630.16420916864</v>
      </c>
      <c r="K35" s="123">
        <f>K29*'[1]BE Tool'!$D$10</f>
        <v>691405.73433034669</v>
      </c>
      <c r="L35" s="123">
        <f>L29*'[1]BE Tool'!$D$10</f>
        <v>474024.17308620946</v>
      </c>
      <c r="M35" s="124">
        <f>M29*'[1]BE Tool'!$D$10</f>
        <v>547386.83842607052</v>
      </c>
    </row>
    <row r="36" spans="1:13" x14ac:dyDescent="0.35">
      <c r="A36" s="120"/>
      <c r="B36" s="123">
        <f>B35</f>
        <v>491877.0172047345</v>
      </c>
      <c r="C36" s="123">
        <f t="shared" ref="C36:M36" si="2">C35+B36</f>
        <v>914461.46893373528</v>
      </c>
      <c r="D36" s="123">
        <f t="shared" si="2"/>
        <v>1421077.4221108749</v>
      </c>
      <c r="E36" s="123">
        <f t="shared" si="2"/>
        <v>1985133.9368597255</v>
      </c>
      <c r="F36" s="123">
        <f t="shared" si="2"/>
        <v>2534436.4070234238</v>
      </c>
      <c r="G36" s="123">
        <f t="shared" si="2"/>
        <v>3114944.7994719343</v>
      </c>
      <c r="H36" s="123">
        <f t="shared" si="2"/>
        <v>3809626.0148767573</v>
      </c>
      <c r="I36" s="123">
        <f t="shared" si="2"/>
        <v>4578098.0899482034</v>
      </c>
      <c r="J36" s="123">
        <f t="shared" si="2"/>
        <v>5237728.2541573718</v>
      </c>
      <c r="K36" s="123">
        <f t="shared" si="2"/>
        <v>5929133.9884877186</v>
      </c>
      <c r="L36" s="123">
        <f t="shared" si="2"/>
        <v>6403158.1615739278</v>
      </c>
      <c r="M36" s="124">
        <f t="shared" si="2"/>
        <v>6950544.9999999981</v>
      </c>
    </row>
    <row r="37" spans="1:13" x14ac:dyDescent="0.35">
      <c r="A37" s="120" t="s">
        <v>93</v>
      </c>
      <c r="B37" s="123">
        <f>'[1]BE Tool'!$D$14</f>
        <v>2459012</v>
      </c>
      <c r="C37" s="123">
        <f>'[1]BE Tool'!$D$14</f>
        <v>2459012</v>
      </c>
      <c r="D37" s="123">
        <f>'[1]BE Tool'!$D$14</f>
        <v>2459012</v>
      </c>
      <c r="E37" s="123">
        <f>'[1]BE Tool'!$D$14</f>
        <v>2459012</v>
      </c>
      <c r="F37" s="123">
        <f>'[1]BE Tool'!$D$14</f>
        <v>2459012</v>
      </c>
      <c r="G37" s="123">
        <f>'[1]BE Tool'!$D$14</f>
        <v>2459012</v>
      </c>
      <c r="H37" s="123">
        <f>'[1]BE Tool'!$D$14</f>
        <v>2459012</v>
      </c>
      <c r="I37" s="123">
        <f>'[1]BE Tool'!$D$14</f>
        <v>2459012</v>
      </c>
      <c r="J37" s="123">
        <f>'[1]BE Tool'!$D$14</f>
        <v>2459012</v>
      </c>
      <c r="K37" s="123">
        <f>'[1]BE Tool'!$D$14</f>
        <v>2459012</v>
      </c>
      <c r="L37" s="123">
        <f>'[1]BE Tool'!$D$14</f>
        <v>2459012</v>
      </c>
      <c r="M37" s="124">
        <f>'[1]BE Tool'!$D$14</f>
        <v>2459012</v>
      </c>
    </row>
    <row r="38" spans="1:13" x14ac:dyDescent="0.35">
      <c r="A38" s="120" t="s">
        <v>94</v>
      </c>
      <c r="B38" s="123">
        <f>B36+B37</f>
        <v>2950889.0172047345</v>
      </c>
      <c r="C38" s="123">
        <f t="shared" ref="C38:M38" si="3">C36+C37</f>
        <v>3373473.468933735</v>
      </c>
      <c r="D38" s="123">
        <f t="shared" si="3"/>
        <v>3880089.4221108751</v>
      </c>
      <c r="E38" s="123">
        <f t="shared" si="3"/>
        <v>4444145.936859725</v>
      </c>
      <c r="F38" s="123">
        <f t="shared" si="3"/>
        <v>4993448.4070234243</v>
      </c>
      <c r="G38" s="123">
        <f t="shared" si="3"/>
        <v>5573956.7994719343</v>
      </c>
      <c r="H38" s="123">
        <f t="shared" si="3"/>
        <v>6268638.0148767568</v>
      </c>
      <c r="I38" s="123">
        <f t="shared" si="3"/>
        <v>7037110.0899482034</v>
      </c>
      <c r="J38" s="123">
        <f t="shared" si="3"/>
        <v>7696740.2541573718</v>
      </c>
      <c r="K38" s="123">
        <f t="shared" si="3"/>
        <v>8388145.9884877186</v>
      </c>
      <c r="L38" s="123">
        <f t="shared" si="3"/>
        <v>8862170.1615739278</v>
      </c>
      <c r="M38" s="124">
        <f t="shared" si="3"/>
        <v>9409556.9999999981</v>
      </c>
    </row>
    <row r="39" spans="1:13" ht="15" thickBot="1" x14ac:dyDescent="0.4">
      <c r="A39" s="127" t="s">
        <v>95</v>
      </c>
      <c r="B39" s="128">
        <f>B31-B36-B37</f>
        <v>-2060534.8211077754</v>
      </c>
      <c r="C39" s="128">
        <f t="shared" ref="C39:M39" si="4">C31-C36-C37</f>
        <v>-1718192.6211700209</v>
      </c>
      <c r="D39" s="128">
        <f t="shared" si="4"/>
        <v>-1307775.2022976216</v>
      </c>
      <c r="E39" s="128">
        <f t="shared" si="4"/>
        <v>-850824.29613371613</v>
      </c>
      <c r="F39" s="128">
        <f t="shared" si="4"/>
        <v>-405825.86967083858</v>
      </c>
      <c r="G39" s="128">
        <f t="shared" si="4"/>
        <v>64452.957058446482</v>
      </c>
      <c r="H39" s="128">
        <f t="shared" si="4"/>
        <v>627224.95343476115</v>
      </c>
      <c r="I39" s="128">
        <f t="shared" si="4"/>
        <v>1249776.0664591501</v>
      </c>
      <c r="J39" s="128">
        <f t="shared" si="4"/>
        <v>1784152.6641705222</v>
      </c>
      <c r="K39" s="128">
        <f t="shared" si="4"/>
        <v>2344271.1426705811</v>
      </c>
      <c r="L39" s="128">
        <f t="shared" si="4"/>
        <v>2728285.4564344846</v>
      </c>
      <c r="M39" s="129">
        <f t="shared" si="4"/>
        <v>3171731.9999999981</v>
      </c>
    </row>
    <row r="40" spans="1:13" s="7" customFormat="1" x14ac:dyDescent="0.35"/>
    <row r="41" spans="1:13" s="7" customFormat="1" x14ac:dyDescent="0.35"/>
    <row r="42" spans="1:13" s="7" customFormat="1" x14ac:dyDescent="0.35"/>
    <row r="43" spans="1:13" s="7" customFormat="1" x14ac:dyDescent="0.35"/>
    <row r="44" spans="1:13" s="7" customFormat="1" x14ac:dyDescent="0.35"/>
    <row r="45" spans="1:13" s="7" customFormat="1" x14ac:dyDescent="0.35"/>
    <row r="46" spans="1:13" s="7" customFormat="1" x14ac:dyDescent="0.35"/>
    <row r="47" spans="1:13" s="7" customFormat="1" x14ac:dyDescent="0.35"/>
    <row r="48" spans="1:13" s="7" customFormat="1" x14ac:dyDescent="0.35"/>
    <row r="49" s="7" customFormat="1" x14ac:dyDescent="0.35"/>
    <row r="50" s="7" customFormat="1" x14ac:dyDescent="0.35"/>
    <row r="51" s="7" customFormat="1" x14ac:dyDescent="0.35"/>
    <row r="52" s="7" customFormat="1" x14ac:dyDescent="0.35"/>
    <row r="53" s="7" customFormat="1" x14ac:dyDescent="0.35"/>
    <row r="54" s="7" customFormat="1" x14ac:dyDescent="0.35"/>
    <row r="55" s="7" customFormat="1" x14ac:dyDescent="0.35"/>
    <row r="56" s="7" customFormat="1" x14ac:dyDescent="0.35"/>
    <row r="57" s="7" customFormat="1" x14ac:dyDescent="0.35"/>
    <row r="58" s="7" customFormat="1" x14ac:dyDescent="0.35"/>
    <row r="59" s="7" customFormat="1" x14ac:dyDescent="0.35"/>
    <row r="60" s="7" customFormat="1" x14ac:dyDescent="0.35"/>
    <row r="61" s="7" customFormat="1" x14ac:dyDescent="0.35"/>
    <row r="62" s="7" customFormat="1" x14ac:dyDescent="0.35"/>
    <row r="63" s="7" customFormat="1" x14ac:dyDescent="0.35"/>
    <row r="64" s="7" customFormat="1" x14ac:dyDescent="0.35"/>
    <row r="65" s="7" customFormat="1" x14ac:dyDescent="0.35"/>
    <row r="66" s="7" customFormat="1" x14ac:dyDescent="0.35"/>
    <row r="67" s="7" customFormat="1" x14ac:dyDescent="0.35"/>
    <row r="68" s="7" customFormat="1" x14ac:dyDescent="0.35"/>
    <row r="69" s="7" customFormat="1" x14ac:dyDescent="0.35"/>
    <row r="70" s="7" customFormat="1" x14ac:dyDescent="0.35"/>
    <row r="71" s="7" customFormat="1" x14ac:dyDescent="0.35"/>
    <row r="72" s="7" customFormat="1" x14ac:dyDescent="0.35"/>
    <row r="73" s="7" customFormat="1" x14ac:dyDescent="0.35"/>
    <row r="74" s="7" customFormat="1" x14ac:dyDescent="0.35"/>
    <row r="75" s="7" customFormat="1" x14ac:dyDescent="0.35"/>
    <row r="76" s="7" customFormat="1" x14ac:dyDescent="0.35"/>
    <row r="77" s="7" customFormat="1" x14ac:dyDescent="0.35"/>
    <row r="78" s="7" customFormat="1" x14ac:dyDescent="0.35"/>
    <row r="79" s="7" customFormat="1" x14ac:dyDescent="0.35"/>
    <row r="80" s="7" customFormat="1" x14ac:dyDescent="0.35"/>
    <row r="81" s="7" customFormat="1" x14ac:dyDescent="0.35"/>
    <row r="82" s="7" customFormat="1" x14ac:dyDescent="0.35"/>
    <row r="83" s="7" customFormat="1" x14ac:dyDescent="0.35"/>
    <row r="84" s="7" customFormat="1" x14ac:dyDescent="0.35"/>
    <row r="85" s="7" customFormat="1" x14ac:dyDescent="0.35"/>
    <row r="86" s="7" customFormat="1" x14ac:dyDescent="0.35"/>
    <row r="87" s="7" customFormat="1" x14ac:dyDescent="0.35"/>
    <row r="88" s="7" customFormat="1" x14ac:dyDescent="0.35"/>
    <row r="89" s="7" customFormat="1" x14ac:dyDescent="0.35"/>
    <row r="90" s="7" customFormat="1" x14ac:dyDescent="0.35"/>
    <row r="91" s="7" customFormat="1" x14ac:dyDescent="0.35"/>
    <row r="92" s="7" customFormat="1" x14ac:dyDescent="0.35"/>
    <row r="93" s="7" customFormat="1" x14ac:dyDescent="0.35"/>
    <row r="94" s="7" customFormat="1" x14ac:dyDescent="0.35"/>
    <row r="95" s="7" customFormat="1" x14ac:dyDescent="0.35"/>
    <row r="96" s="7" customFormat="1" x14ac:dyDescent="0.35"/>
    <row r="97" s="7" customFormat="1" x14ac:dyDescent="0.35"/>
    <row r="98" s="7" customFormat="1" x14ac:dyDescent="0.35"/>
    <row r="99" s="7" customFormat="1" x14ac:dyDescent="0.35"/>
    <row r="100" s="7" customFormat="1" x14ac:dyDescent="0.35"/>
    <row r="101" s="7" customFormat="1" x14ac:dyDescent="0.35"/>
    <row r="102" s="7" customFormat="1" x14ac:dyDescent="0.35"/>
    <row r="103" s="7" customFormat="1" x14ac:dyDescent="0.35"/>
    <row r="104" s="7" customFormat="1" x14ac:dyDescent="0.35"/>
    <row r="105" s="7" customFormat="1" x14ac:dyDescent="0.35"/>
    <row r="106" s="7" customFormat="1" x14ac:dyDescent="0.35"/>
    <row r="107" s="7" customFormat="1" x14ac:dyDescent="0.35"/>
    <row r="108" s="7" customFormat="1" x14ac:dyDescent="0.35"/>
    <row r="109" s="7" customFormat="1" x14ac:dyDescent="0.35"/>
    <row r="110" s="7" customFormat="1" x14ac:dyDescent="0.35"/>
    <row r="111" s="7" customFormat="1" x14ac:dyDescent="0.35"/>
    <row r="112" s="7" customFormat="1" x14ac:dyDescent="0.35"/>
    <row r="113" s="7" customFormat="1" x14ac:dyDescent="0.35"/>
    <row r="114" s="7" customFormat="1" x14ac:dyDescent="0.35"/>
    <row r="115" s="7" customFormat="1" x14ac:dyDescent="0.35"/>
    <row r="116" s="7" customFormat="1" x14ac:dyDescent="0.35"/>
    <row r="117" s="7" customFormat="1" x14ac:dyDescent="0.35"/>
    <row r="118" s="7" customFormat="1" x14ac:dyDescent="0.35"/>
    <row r="119" s="7" customFormat="1" x14ac:dyDescent="0.35"/>
    <row r="120" s="7" customFormat="1" x14ac:dyDescent="0.35"/>
    <row r="121" s="7" customFormat="1" x14ac:dyDescent="0.35"/>
    <row r="122" s="7" customFormat="1" x14ac:dyDescent="0.35"/>
    <row r="123" s="7" customFormat="1" x14ac:dyDescent="0.35"/>
    <row r="124" s="7" customFormat="1" x14ac:dyDescent="0.35"/>
    <row r="125" s="7" customFormat="1" x14ac:dyDescent="0.35"/>
    <row r="126" s="7" customFormat="1" x14ac:dyDescent="0.35"/>
    <row r="127" s="7" customFormat="1" x14ac:dyDescent="0.35"/>
    <row r="128" s="7" customFormat="1" x14ac:dyDescent="0.35"/>
    <row r="129" s="7" customFormat="1" x14ac:dyDescent="0.35"/>
    <row r="130" s="7" customFormat="1" x14ac:dyDescent="0.35"/>
    <row r="131" s="7" customFormat="1" x14ac:dyDescent="0.35"/>
    <row r="132" s="7" customFormat="1" x14ac:dyDescent="0.35"/>
    <row r="133" s="7" customFormat="1" x14ac:dyDescent="0.35"/>
    <row r="134" s="7" customFormat="1" x14ac:dyDescent="0.35"/>
    <row r="135" s="7" customFormat="1" x14ac:dyDescent="0.35"/>
    <row r="136" s="7" customFormat="1" x14ac:dyDescent="0.35"/>
    <row r="137" s="7" customFormat="1" x14ac:dyDescent="0.35"/>
    <row r="138" s="7" customFormat="1" x14ac:dyDescent="0.35"/>
    <row r="139" s="7" customFormat="1" x14ac:dyDescent="0.35"/>
    <row r="140" s="7" customFormat="1" x14ac:dyDescent="0.35"/>
    <row r="141" s="7" customFormat="1" x14ac:dyDescent="0.35"/>
    <row r="142" s="7" customFormat="1" x14ac:dyDescent="0.35"/>
    <row r="143" s="7" customFormat="1" x14ac:dyDescent="0.35"/>
    <row r="144" s="7" customFormat="1" x14ac:dyDescent="0.35"/>
    <row r="145" s="7" customFormat="1" x14ac:dyDescent="0.35"/>
    <row r="146" s="7" customFormat="1" x14ac:dyDescent="0.35"/>
    <row r="147" s="7" customFormat="1" x14ac:dyDescent="0.35"/>
    <row r="148" s="7" customFormat="1" x14ac:dyDescent="0.35"/>
    <row r="149" s="7" customFormat="1" x14ac:dyDescent="0.35"/>
    <row r="150" s="7" customFormat="1" x14ac:dyDescent="0.35"/>
    <row r="151" s="7" customFormat="1" x14ac:dyDescent="0.35"/>
    <row r="152" s="7" customFormat="1" x14ac:dyDescent="0.35"/>
    <row r="153" s="7" customFormat="1" x14ac:dyDescent="0.35"/>
    <row r="154" s="7" customFormat="1" x14ac:dyDescent="0.35"/>
    <row r="155" s="7" customFormat="1" x14ac:dyDescent="0.35"/>
    <row r="156" s="7" customFormat="1" x14ac:dyDescent="0.35"/>
    <row r="157" s="7" customFormat="1" x14ac:dyDescent="0.35"/>
    <row r="158" s="7" customFormat="1" x14ac:dyDescent="0.35"/>
    <row r="159" s="7" customFormat="1" x14ac:dyDescent="0.35"/>
    <row r="160" s="7" customFormat="1" x14ac:dyDescent="0.35"/>
    <row r="161" s="7" customFormat="1" x14ac:dyDescent="0.35"/>
    <row r="162" s="7" customFormat="1" x14ac:dyDescent="0.35"/>
    <row r="163" s="7" customFormat="1" x14ac:dyDescent="0.35"/>
    <row r="164" s="7" customFormat="1" x14ac:dyDescent="0.35"/>
    <row r="165" s="7" customFormat="1" x14ac:dyDescent="0.35"/>
    <row r="166" s="7" customFormat="1" x14ac:dyDescent="0.35"/>
    <row r="167" s="7" customFormat="1" x14ac:dyDescent="0.35"/>
    <row r="168" s="7" customFormat="1" x14ac:dyDescent="0.35"/>
    <row r="169" s="7" customFormat="1" x14ac:dyDescent="0.35"/>
    <row r="170" s="7" customFormat="1" x14ac:dyDescent="0.35"/>
    <row r="171" s="7" customFormat="1" x14ac:dyDescent="0.35"/>
    <row r="172" s="7" customFormat="1" x14ac:dyDescent="0.35"/>
    <row r="173" s="7" customFormat="1" x14ac:dyDescent="0.35"/>
    <row r="174" s="7" customFormat="1" x14ac:dyDescent="0.35"/>
    <row r="175" s="7" customFormat="1" x14ac:dyDescent="0.35"/>
    <row r="176" s="7" customFormat="1" x14ac:dyDescent="0.35"/>
    <row r="177" s="7" customFormat="1" x14ac:dyDescent="0.35"/>
    <row r="178" s="7" customFormat="1" x14ac:dyDescent="0.35"/>
    <row r="179" s="7" customFormat="1" x14ac:dyDescent="0.35"/>
    <row r="180" s="7" customFormat="1" x14ac:dyDescent="0.35"/>
    <row r="181" s="7" customFormat="1" x14ac:dyDescent="0.35"/>
    <row r="182" s="7" customFormat="1" x14ac:dyDescent="0.35"/>
    <row r="183" s="7" customFormat="1" x14ac:dyDescent="0.35"/>
    <row r="184" s="7" customFormat="1" x14ac:dyDescent="0.35"/>
    <row r="185" s="7" customFormat="1" x14ac:dyDescent="0.35"/>
    <row r="186" s="7" customFormat="1" x14ac:dyDescent="0.35"/>
    <row r="187" s="7" customFormat="1" x14ac:dyDescent="0.35"/>
    <row r="188" s="7" customFormat="1" x14ac:dyDescent="0.35"/>
    <row r="189" s="7" customFormat="1" x14ac:dyDescent="0.35"/>
    <row r="190" s="7" customFormat="1" x14ac:dyDescent="0.35"/>
    <row r="191" s="7" customFormat="1" x14ac:dyDescent="0.35"/>
    <row r="192" s="7" customFormat="1" x14ac:dyDescent="0.35"/>
    <row r="193" s="7" customFormat="1" x14ac:dyDescent="0.35"/>
    <row r="194" s="7" customFormat="1" x14ac:dyDescent="0.35"/>
    <row r="195" s="7" customFormat="1" x14ac:dyDescent="0.35"/>
    <row r="196" s="7" customFormat="1" x14ac:dyDescent="0.35"/>
    <row r="197" s="7" customFormat="1" x14ac:dyDescent="0.35"/>
    <row r="198" s="7" customFormat="1" x14ac:dyDescent="0.35"/>
    <row r="199" s="7" customFormat="1" x14ac:dyDescent="0.35"/>
    <row r="200" s="7" customFormat="1" x14ac:dyDescent="0.35"/>
    <row r="201" s="7" customFormat="1" x14ac:dyDescent="0.35"/>
    <row r="202" s="7" customFormat="1" x14ac:dyDescent="0.35"/>
    <row r="203" s="7" customFormat="1" x14ac:dyDescent="0.35"/>
    <row r="204" s="7" customFormat="1" x14ac:dyDescent="0.35"/>
    <row r="205" s="7" customFormat="1" x14ac:dyDescent="0.35"/>
    <row r="206" s="7" customFormat="1" x14ac:dyDescent="0.35"/>
    <row r="207" s="7" customFormat="1" x14ac:dyDescent="0.35"/>
    <row r="208" s="7" customFormat="1" x14ac:dyDescent="0.35"/>
    <row r="209" s="7" customFormat="1" x14ac:dyDescent="0.35"/>
    <row r="210" s="7" customFormat="1" x14ac:dyDescent="0.35"/>
    <row r="211" s="7" customFormat="1" x14ac:dyDescent="0.35"/>
    <row r="212" s="7" customFormat="1" x14ac:dyDescent="0.35"/>
    <row r="213" s="7" customFormat="1" x14ac:dyDescent="0.35"/>
    <row r="214" s="7" customFormat="1" x14ac:dyDescent="0.35"/>
    <row r="215" s="7" customFormat="1" x14ac:dyDescent="0.35"/>
    <row r="216" s="7" customFormat="1" x14ac:dyDescent="0.35"/>
    <row r="217" s="7" customFormat="1" x14ac:dyDescent="0.35"/>
    <row r="218" s="7" customFormat="1" x14ac:dyDescent="0.35"/>
    <row r="219" s="7" customFormat="1" x14ac:dyDescent="0.35"/>
    <row r="220" s="7" customFormat="1" x14ac:dyDescent="0.35"/>
    <row r="221" s="7" customFormat="1" x14ac:dyDescent="0.35"/>
    <row r="222" s="7" customFormat="1" x14ac:dyDescent="0.35"/>
    <row r="223" s="7" customFormat="1" x14ac:dyDescent="0.35"/>
    <row r="224" s="7" customFormat="1" x14ac:dyDescent="0.35"/>
    <row r="225" s="7" customFormat="1" x14ac:dyDescent="0.35"/>
    <row r="226" s="7" customFormat="1" x14ac:dyDescent="0.35"/>
    <row r="227" s="7" customFormat="1" x14ac:dyDescent="0.35"/>
    <row r="228" s="7" customFormat="1" x14ac:dyDescent="0.35"/>
    <row r="229" s="7" customFormat="1" x14ac:dyDescent="0.35"/>
    <row r="230" s="7" customFormat="1" x14ac:dyDescent="0.35"/>
    <row r="231" s="7" customFormat="1" x14ac:dyDescent="0.35"/>
    <row r="232" s="7" customFormat="1" x14ac:dyDescent="0.35"/>
    <row r="233" s="7" customFormat="1" x14ac:dyDescent="0.35"/>
    <row r="234" s="7" customFormat="1" x14ac:dyDescent="0.35"/>
    <row r="235" s="7" customFormat="1" x14ac:dyDescent="0.35"/>
    <row r="236" s="7" customFormat="1" x14ac:dyDescent="0.35"/>
    <row r="237" s="7" customFormat="1" x14ac:dyDescent="0.35"/>
    <row r="238" s="7" customFormat="1" x14ac:dyDescent="0.35"/>
    <row r="239" s="7" customFormat="1" x14ac:dyDescent="0.35"/>
    <row r="240" s="7" customFormat="1" x14ac:dyDescent="0.35"/>
    <row r="241" s="7" customFormat="1" x14ac:dyDescent="0.35"/>
    <row r="242" s="7" customFormat="1" x14ac:dyDescent="0.35"/>
    <row r="243" s="7" customFormat="1" x14ac:dyDescent="0.35"/>
    <row r="244" s="7" customFormat="1" x14ac:dyDescent="0.35"/>
    <row r="245" s="7" customFormat="1" x14ac:dyDescent="0.35"/>
    <row r="246" s="7" customFormat="1" x14ac:dyDescent="0.35"/>
    <row r="247" s="7" customFormat="1" x14ac:dyDescent="0.35"/>
    <row r="248" s="7" customFormat="1" x14ac:dyDescent="0.35"/>
    <row r="249" s="7" customFormat="1" x14ac:dyDescent="0.35"/>
    <row r="250" s="7" customFormat="1" x14ac:dyDescent="0.35"/>
    <row r="251" s="7" customFormat="1" x14ac:dyDescent="0.35"/>
    <row r="252" s="7" customFormat="1" x14ac:dyDescent="0.35"/>
    <row r="253" s="7" customFormat="1" x14ac:dyDescent="0.35"/>
    <row r="254" s="7" customFormat="1" x14ac:dyDescent="0.35"/>
    <row r="255" s="7" customFormat="1" x14ac:dyDescent="0.35"/>
    <row r="256" s="7" customFormat="1" x14ac:dyDescent="0.35"/>
    <row r="257" s="7" customFormat="1" x14ac:dyDescent="0.35"/>
    <row r="258" s="7" customFormat="1" x14ac:dyDescent="0.35"/>
    <row r="259" s="7" customFormat="1" x14ac:dyDescent="0.35"/>
    <row r="260" s="7" customFormat="1" x14ac:dyDescent="0.35"/>
    <row r="261" s="7" customFormat="1" x14ac:dyDescent="0.35"/>
    <row r="262" s="7" customFormat="1" x14ac:dyDescent="0.35"/>
    <row r="263" s="7" customFormat="1" x14ac:dyDescent="0.35"/>
    <row r="264" s="7" customFormat="1" x14ac:dyDescent="0.35"/>
    <row r="265" s="7" customFormat="1" x14ac:dyDescent="0.35"/>
    <row r="266" s="7" customFormat="1" x14ac:dyDescent="0.35"/>
    <row r="267" s="7" customFormat="1" x14ac:dyDescent="0.35"/>
    <row r="268" s="7" customFormat="1" x14ac:dyDescent="0.35"/>
    <row r="269" s="7" customFormat="1" x14ac:dyDescent="0.35"/>
    <row r="270" s="7" customFormat="1" x14ac:dyDescent="0.35"/>
    <row r="271" s="7" customFormat="1" x14ac:dyDescent="0.35"/>
    <row r="272" s="7" customFormat="1" x14ac:dyDescent="0.35"/>
    <row r="273" s="7" customFormat="1" x14ac:dyDescent="0.35"/>
    <row r="274" s="7" customFormat="1" x14ac:dyDescent="0.35"/>
    <row r="275" s="7" customFormat="1" x14ac:dyDescent="0.35"/>
    <row r="276" s="7" customFormat="1" x14ac:dyDescent="0.35"/>
    <row r="277" s="7" customFormat="1" x14ac:dyDescent="0.35"/>
    <row r="278" s="7" customFormat="1" x14ac:dyDescent="0.35"/>
    <row r="279" s="7" customFormat="1" x14ac:dyDescent="0.35"/>
    <row r="280" s="7" customFormat="1" x14ac:dyDescent="0.35"/>
    <row r="281" s="7" customFormat="1" x14ac:dyDescent="0.35"/>
    <row r="282" s="7" customFormat="1" x14ac:dyDescent="0.35"/>
    <row r="283" s="7" customFormat="1" x14ac:dyDescent="0.35"/>
    <row r="284" s="7" customFormat="1" x14ac:dyDescent="0.35"/>
    <row r="285" s="7" customFormat="1" x14ac:dyDescent="0.35"/>
    <row r="286" s="7" customFormat="1" x14ac:dyDescent="0.35"/>
    <row r="287" s="7" customFormat="1" x14ac:dyDescent="0.35"/>
    <row r="288" s="7" customFormat="1" x14ac:dyDescent="0.35"/>
    <row r="289" s="7" customFormat="1" x14ac:dyDescent="0.35"/>
    <row r="290" s="7" customFormat="1" x14ac:dyDescent="0.35"/>
    <row r="291" s="7" customFormat="1" x14ac:dyDescent="0.35"/>
    <row r="292" s="7" customFormat="1" x14ac:dyDescent="0.35"/>
    <row r="293" s="7" customFormat="1" x14ac:dyDescent="0.35"/>
    <row r="294" s="7" customFormat="1" x14ac:dyDescent="0.35"/>
    <row r="295" s="7" customFormat="1" x14ac:dyDescent="0.35"/>
    <row r="296" s="7" customFormat="1" x14ac:dyDescent="0.35"/>
    <row r="297" s="7" customFormat="1" x14ac:dyDescent="0.35"/>
    <row r="298" s="7" customFormat="1" x14ac:dyDescent="0.35"/>
    <row r="299" s="7" customFormat="1" x14ac:dyDescent="0.35"/>
    <row r="300" s="7" customFormat="1" x14ac:dyDescent="0.35"/>
  </sheetData>
  <conditionalFormatting sqref="B28:M28">
    <cfRule type="cellIs" dxfId="0" priority="1" stopIfTrue="1" operator="equal">
      <formula>$U$29</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BE Tool</vt:lpstr>
      <vt:lpstr>Detailed What If</vt:lpstr>
      <vt:lpstr>Seasonality Impact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Pfeiffer</dc:creator>
  <cp:lastModifiedBy>Joseph Pfeiffer</cp:lastModifiedBy>
  <dcterms:created xsi:type="dcterms:W3CDTF">2018-07-22T11:56:55Z</dcterms:created>
  <dcterms:modified xsi:type="dcterms:W3CDTF">2018-07-22T14:33:44Z</dcterms:modified>
</cp:coreProperties>
</file>