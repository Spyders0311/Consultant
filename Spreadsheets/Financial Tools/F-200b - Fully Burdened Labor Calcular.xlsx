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feiffer Backup\OMNI\PROGRAM MASTER FOLDER\Operations - Growth &amp; Optimznt\Management Tools forms\"/>
    </mc:Choice>
  </mc:AlternateContent>
  <bookViews>
    <workbookView xWindow="120" yWindow="90" windowWidth="9435" windowHeight="5475"/>
  </bookViews>
  <sheets>
    <sheet name="Employee Value Calculator" sheetId="2" r:id="rId1"/>
    <sheet name="Fully Burdened Cost Calculator" sheetId="1" r:id="rId2"/>
  </sheets>
  <calcPr calcId="152511"/>
</workbook>
</file>

<file path=xl/calcChain.xml><?xml version="1.0" encoding="utf-8"?>
<calcChain xmlns="http://schemas.openxmlformats.org/spreadsheetml/2006/main">
  <c r="H37" i="2" l="1"/>
  <c r="H35" i="2"/>
  <c r="H33" i="2"/>
  <c r="H23" i="2"/>
  <c r="H19" i="2"/>
  <c r="H16" i="2"/>
  <c r="H13" i="2"/>
  <c r="H31" i="2"/>
  <c r="H29" i="2"/>
  <c r="H27" i="2"/>
  <c r="H25" i="2"/>
  <c r="H8" i="2"/>
  <c r="H10" i="2" s="1"/>
  <c r="H30" i="1"/>
  <c r="H47" i="1"/>
  <c r="H43" i="1"/>
  <c r="H41" i="1"/>
  <c r="H39" i="1"/>
  <c r="H44" i="1"/>
  <c r="H37" i="1"/>
  <c r="H6" i="1"/>
  <c r="H9" i="1"/>
  <c r="H12" i="1"/>
  <c r="H13" i="1"/>
  <c r="H19" i="1" s="1"/>
  <c r="H21" i="1" s="1"/>
  <c r="H49" i="1" s="1"/>
  <c r="H14" i="1"/>
  <c r="H15" i="1"/>
  <c r="H16" i="1"/>
  <c r="H17" i="1"/>
  <c r="H20" i="1"/>
  <c r="H23" i="1"/>
  <c r="H24" i="1"/>
  <c r="H25" i="1"/>
  <c r="H26" i="1"/>
  <c r="H27" i="1"/>
  <c r="H29" i="1" s="1"/>
  <c r="F28" i="1" l="1"/>
  <c r="H28" i="1" s="1"/>
  <c r="H31" i="1" s="1"/>
  <c r="H33" i="1" s="1"/>
  <c r="H51" i="1" l="1"/>
</calcChain>
</file>

<file path=xl/sharedStrings.xml><?xml version="1.0" encoding="utf-8"?>
<sst xmlns="http://schemas.openxmlformats.org/spreadsheetml/2006/main" count="81" uniqueCount="68">
  <si>
    <t>POSITION:</t>
  </si>
  <si>
    <t>Annual Gross Pay:  40 hours per week X 52 weeks X</t>
  </si>
  <si>
    <t>per hour</t>
  </si>
  <si>
    <t>Bonus/Incentive Pay annualized</t>
  </si>
  <si>
    <t>Other Compensation:  Overtime, etc. annualized</t>
  </si>
  <si>
    <t>Total Annual Pay</t>
  </si>
  <si>
    <t>Employer Portion</t>
  </si>
  <si>
    <t>Unemployment Insurance @</t>
  </si>
  <si>
    <t>annual rate</t>
  </si>
  <si>
    <t>FICA @</t>
  </si>
  <si>
    <t>Medicare @</t>
  </si>
  <si>
    <t>State @</t>
  </si>
  <si>
    <t>Workers Compensation @</t>
  </si>
  <si>
    <t xml:space="preserve">Health Insurance:  </t>
  </si>
  <si>
    <t>per month X 12</t>
  </si>
  <si>
    <t>Other:</t>
  </si>
  <si>
    <t>Total Employer portion</t>
  </si>
  <si>
    <t>Total Employer Portion  %</t>
  </si>
  <si>
    <t xml:space="preserve">Annual Paid Hours:  </t>
  </si>
  <si>
    <t>hours X</t>
  </si>
  <si>
    <t>weeks</t>
  </si>
  <si>
    <t>Less:</t>
  </si>
  <si>
    <t>Holiday Pay:</t>
  </si>
  <si>
    <t>days X 8 hours</t>
  </si>
  <si>
    <t>Vacation Pay:</t>
  </si>
  <si>
    <t>Sick Pays:</t>
  </si>
  <si>
    <t>Subtotal:  Productive hours</t>
  </si>
  <si>
    <t xml:space="preserve">Breaks:  </t>
  </si>
  <si>
    <t>minutes daily X</t>
  </si>
  <si>
    <t>days/60</t>
  </si>
  <si>
    <t>Standby/Travel:</t>
  </si>
  <si>
    <t>hours daily X productive hours</t>
  </si>
  <si>
    <t>Other:  Non-productive hours annualized</t>
  </si>
  <si>
    <t>PRODUCTIVE HOURS</t>
  </si>
  <si>
    <t>NET HOURLY COST:  ANNUAL COST/PRODUCTIVE HOURS</t>
  </si>
  <si>
    <t>OVERHEAD ABSORPTION</t>
  </si>
  <si>
    <t>FULLY COSTED HOURLY EMPLOYEE RATE</t>
  </si>
  <si>
    <t>Cost of Suplies Used Monthly</t>
  </si>
  <si>
    <t>X 12 months</t>
  </si>
  <si>
    <t>Cost of Equipment Used</t>
  </si>
  <si>
    <t>Cost of Vehicle used</t>
  </si>
  <si>
    <t>Cost of Uniforms</t>
  </si>
  <si>
    <t>Weekly Cost to Clean Uniforms</t>
  </si>
  <si>
    <t>X 50 months</t>
  </si>
  <si>
    <t>Cost of Office Space</t>
  </si>
  <si>
    <t># Sq feet -  Cost pr/ft</t>
  </si>
  <si>
    <t>Monthly Cost to Maintain Eqpmt</t>
  </si>
  <si>
    <t>Monthly Cost to Maintain Vehicle</t>
  </si>
  <si>
    <t>Other Monthly Costs</t>
  </si>
  <si>
    <t xml:space="preserve">TOTAL EMPLOYEE OVERHEAD COSTS:  </t>
  </si>
  <si>
    <t xml:space="preserve">TOTAL EMPLOYEE COSTS:  </t>
  </si>
  <si>
    <t>ANNUAL LABOR COST</t>
  </si>
  <si>
    <t>FULLY BURDENED EMPLOYEE COST CALCULATOR</t>
  </si>
  <si>
    <t>EMPLOYEE VALUE CALCULATOR</t>
  </si>
  <si>
    <t>EST WKLY MAN HRS NEEDED</t>
  </si>
  <si>
    <t>UTILIZATION RATE</t>
  </si>
  <si>
    <t>EST WKLY HRS CUT FROM OTHER POSITIONS</t>
  </si>
  <si>
    <t>EST WKLY $ SAVED FROM THIS POSITION</t>
  </si>
  <si>
    <t>EST WKLY ADDITIONAL SALES REVENUE</t>
  </si>
  <si>
    <t>EST WKLY $ SAVED FROM OTHER POSITION(S)</t>
  </si>
  <si>
    <t>EST WKLY ADDITIONAL SALES REVENUE OTHER</t>
  </si>
  <si>
    <t>POSITION IMPACTED BY THIS NEW POSITION</t>
  </si>
  <si>
    <t>HRS CUT WKLY</t>
  </si>
  <si>
    <t>EST WKLY $ SAVED TOTAL</t>
  </si>
  <si>
    <t>EST WKLY ADDITIONAL SALES REVENUE TOTAL</t>
  </si>
  <si>
    <t>EST WKLY TOTAL $ VALUE</t>
  </si>
  <si>
    <t>VALUE CALCULATIONS FOR NON-PRODUCTION POSITION</t>
  </si>
  <si>
    <t>UTILIZATION CALCULATION FOR PRODUCTION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</si>
</sst>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7" formatCode="&quot;$&quot;#,##0.00_);\(&quot;$&quot;#,##0.00\)"/>
    <numFmt numFmtId="164" formatCode="&quot;$&quot;#,##0"/>
    <numFmt numFmtId="165" formatCode="&quot;$&quot;#,##0.00"/>
  </numFmts>
  <fonts count="5" x14ac:knownFonts="1">
    <font>
      <sz val="10"/>
      <name val="MS Sans Serif"/>
    </font>
    <font>
      <b/>
      <sz val="10"/>
      <name val="MS Sans Serif"/>
    </font>
    <font>
      <b/>
      <sz val="12"/>
      <name val="MS Sans Serif"/>
    </font>
    <font>
      <b/>
      <sz val="14"/>
      <name val="MS Sans Serif"/>
    </font>
    <font>
      <b/>
      <sz val="18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5" fontId="0" fillId="0" borderId="0" xfId="0" applyNumberFormat="1"/>
    <xf numFmtId="10" fontId="0" fillId="0" borderId="0" xfId="0" applyNumberFormat="1"/>
    <xf numFmtId="7" fontId="0" fillId="0" borderId="0" xfId="0" applyNumberFormat="1"/>
    <xf numFmtId="3" fontId="0" fillId="0" borderId="0" xfId="0" applyNumberFormat="1"/>
    <xf numFmtId="0" fontId="0" fillId="2" borderId="2" xfId="0" applyFill="1" applyBorder="1"/>
    <xf numFmtId="7" fontId="0" fillId="2" borderId="2" xfId="0" applyNumberFormat="1" applyFill="1" applyBorder="1"/>
    <xf numFmtId="3" fontId="0" fillId="2" borderId="2" xfId="0" applyNumberFormat="1" applyFill="1" applyBorder="1"/>
    <xf numFmtId="164" fontId="0" fillId="0" borderId="0" xfId="0" applyNumberFormat="1"/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/>
    <xf numFmtId="5" fontId="2" fillId="0" borderId="0" xfId="0" applyNumberFormat="1" applyFont="1"/>
    <xf numFmtId="3" fontId="2" fillId="0" borderId="0" xfId="0" applyNumberFormat="1" applyFont="1"/>
    <xf numFmtId="7" fontId="2" fillId="0" borderId="0" xfId="0" applyNumberFormat="1" applyFont="1"/>
    <xf numFmtId="0" fontId="0" fillId="4" borderId="2" xfId="0" applyFill="1" applyBorder="1"/>
    <xf numFmtId="165" fontId="0" fillId="0" borderId="0" xfId="0" applyNumberFormat="1"/>
    <xf numFmtId="165" fontId="2" fillId="0" borderId="0" xfId="0" applyNumberFormat="1" applyFont="1"/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Fill="1" applyBorder="1"/>
    <xf numFmtId="165" fontId="0" fillId="3" borderId="2" xfId="0" applyNumberFormat="1" applyFill="1" applyBorder="1"/>
    <xf numFmtId="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J11" sqref="J11"/>
    </sheetView>
  </sheetViews>
  <sheetFormatPr defaultRowHeight="12.75" x14ac:dyDescent="0.2"/>
  <sheetData>
    <row r="1" spans="1:8" ht="23.25" x14ac:dyDescent="0.35">
      <c r="A1" s="26" t="s">
        <v>53</v>
      </c>
    </row>
    <row r="4" spans="1:8" x14ac:dyDescent="0.2">
      <c r="A4" s="1" t="s">
        <v>0</v>
      </c>
      <c r="C4" s="23"/>
      <c r="D4" s="24"/>
      <c r="E4" s="24"/>
      <c r="F4" s="24"/>
    </row>
    <row r="6" spans="1:8" ht="19.5" x14ac:dyDescent="0.35">
      <c r="A6" s="30" t="s">
        <v>67</v>
      </c>
    </row>
    <row r="8" spans="1:8" x14ac:dyDescent="0.2">
      <c r="A8" s="2" t="s">
        <v>54</v>
      </c>
      <c r="G8" s="11"/>
      <c r="H8">
        <f>G8</f>
        <v>0</v>
      </c>
    </row>
    <row r="10" spans="1:8" ht="15.75" x14ac:dyDescent="0.25">
      <c r="A10" s="2" t="s">
        <v>55</v>
      </c>
      <c r="H10" s="29">
        <f>H8/40</f>
        <v>0</v>
      </c>
    </row>
    <row r="12" spans="1:8" x14ac:dyDescent="0.2">
      <c r="A12" s="2" t="s">
        <v>61</v>
      </c>
      <c r="G12" s="1" t="s">
        <v>62</v>
      </c>
    </row>
    <row r="13" spans="1:8" x14ac:dyDescent="0.2">
      <c r="A13" s="23"/>
      <c r="B13" s="24"/>
      <c r="C13" s="24"/>
      <c r="D13" s="24"/>
      <c r="G13" s="11"/>
      <c r="H13">
        <f>G13</f>
        <v>0</v>
      </c>
    </row>
    <row r="15" spans="1:8" x14ac:dyDescent="0.2">
      <c r="A15" s="2" t="s">
        <v>61</v>
      </c>
      <c r="G15" s="1" t="s">
        <v>62</v>
      </c>
    </row>
    <row r="16" spans="1:8" x14ac:dyDescent="0.2">
      <c r="A16" s="23"/>
      <c r="B16" s="24"/>
      <c r="C16" s="24"/>
      <c r="D16" s="24"/>
      <c r="G16" s="11"/>
      <c r="H16">
        <f>G16</f>
        <v>0</v>
      </c>
    </row>
    <row r="18" spans="1:8" x14ac:dyDescent="0.2">
      <c r="A18" s="2" t="s">
        <v>61</v>
      </c>
      <c r="G18" s="1" t="s">
        <v>62</v>
      </c>
    </row>
    <row r="19" spans="1:8" x14ac:dyDescent="0.2">
      <c r="A19" s="23"/>
      <c r="B19" s="24"/>
      <c r="C19" s="24"/>
      <c r="D19" s="24"/>
      <c r="G19" s="11"/>
      <c r="H19">
        <f>G19</f>
        <v>0</v>
      </c>
    </row>
    <row r="21" spans="1:8" ht="19.5" x14ac:dyDescent="0.35">
      <c r="A21" s="30" t="s">
        <v>66</v>
      </c>
    </row>
    <row r="23" spans="1:8" x14ac:dyDescent="0.2">
      <c r="A23" s="2" t="s">
        <v>56</v>
      </c>
      <c r="G23" s="27"/>
      <c r="H23">
        <f>SUM(H13:H22)</f>
        <v>0</v>
      </c>
    </row>
    <row r="25" spans="1:8" x14ac:dyDescent="0.2">
      <c r="A25" s="2" t="s">
        <v>57</v>
      </c>
      <c r="G25" s="28"/>
      <c r="H25" s="21">
        <f>G25</f>
        <v>0</v>
      </c>
    </row>
    <row r="26" spans="1:8" x14ac:dyDescent="0.2">
      <c r="G26" s="21"/>
      <c r="H26" s="21"/>
    </row>
    <row r="27" spans="1:8" x14ac:dyDescent="0.2">
      <c r="A27" s="2" t="s">
        <v>58</v>
      </c>
      <c r="G27" s="28"/>
      <c r="H27" s="21">
        <f>G27</f>
        <v>0</v>
      </c>
    </row>
    <row r="28" spans="1:8" x14ac:dyDescent="0.2">
      <c r="G28" s="21"/>
      <c r="H28" s="21"/>
    </row>
    <row r="29" spans="1:8" x14ac:dyDescent="0.2">
      <c r="A29" s="2" t="s">
        <v>59</v>
      </c>
      <c r="G29" s="28"/>
      <c r="H29" s="21">
        <f>G29</f>
        <v>0</v>
      </c>
    </row>
    <row r="30" spans="1:8" x14ac:dyDescent="0.2">
      <c r="G30" s="21"/>
      <c r="H30" s="21"/>
    </row>
    <row r="31" spans="1:8" x14ac:dyDescent="0.2">
      <c r="A31" s="2" t="s">
        <v>60</v>
      </c>
      <c r="G31" s="28"/>
      <c r="H31" s="21">
        <f>G31</f>
        <v>0</v>
      </c>
    </row>
    <row r="32" spans="1:8" x14ac:dyDescent="0.2">
      <c r="H32" s="21"/>
    </row>
    <row r="33" spans="1:8" x14ac:dyDescent="0.2">
      <c r="A33" s="2" t="s">
        <v>63</v>
      </c>
      <c r="H33" s="21">
        <f>H25+H29</f>
        <v>0</v>
      </c>
    </row>
    <row r="34" spans="1:8" x14ac:dyDescent="0.2">
      <c r="H34" s="21"/>
    </row>
    <row r="35" spans="1:8" x14ac:dyDescent="0.2">
      <c r="A35" s="2" t="s">
        <v>64</v>
      </c>
      <c r="H35" s="21">
        <f>H27+H31</f>
        <v>0</v>
      </c>
    </row>
    <row r="36" spans="1:8" x14ac:dyDescent="0.2">
      <c r="H36" s="21"/>
    </row>
    <row r="37" spans="1:8" ht="15.75" x14ac:dyDescent="0.25">
      <c r="A37" s="2" t="s">
        <v>65</v>
      </c>
      <c r="H37" s="22">
        <f>H33+H35</f>
        <v>0</v>
      </c>
    </row>
  </sheetData>
  <mergeCells count="4">
    <mergeCell ref="C4:F4"/>
    <mergeCell ref="A13:D13"/>
    <mergeCell ref="A16:D16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G44" sqref="G44"/>
    </sheetView>
  </sheetViews>
  <sheetFormatPr defaultRowHeight="12.75" x14ac:dyDescent="0.2"/>
  <cols>
    <col min="8" max="8" width="10.28515625" bestFit="1" customWidth="1"/>
  </cols>
  <sheetData>
    <row r="1" spans="1:8" ht="19.5" x14ac:dyDescent="0.35">
      <c r="A1" s="25" t="s">
        <v>52</v>
      </c>
    </row>
    <row r="2" spans="1:8" x14ac:dyDescent="0.2">
      <c r="A2" s="1"/>
    </row>
    <row r="3" spans="1:8" x14ac:dyDescent="0.2">
      <c r="A3" s="1"/>
    </row>
    <row r="4" spans="1:8" x14ac:dyDescent="0.2">
      <c r="A4" s="1" t="s">
        <v>0</v>
      </c>
      <c r="C4" s="23"/>
      <c r="D4" s="24"/>
      <c r="E4" s="24"/>
      <c r="F4" s="24"/>
    </row>
    <row r="6" spans="1:8" x14ac:dyDescent="0.2">
      <c r="A6" t="s">
        <v>1</v>
      </c>
      <c r="F6" s="8"/>
      <c r="G6" t="s">
        <v>2</v>
      </c>
      <c r="H6" s="3">
        <f>2080*F6</f>
        <v>0</v>
      </c>
    </row>
    <row r="7" spans="1:8" x14ac:dyDescent="0.2">
      <c r="A7" t="s">
        <v>3</v>
      </c>
      <c r="H7" s="3"/>
    </row>
    <row r="8" spans="1:8" x14ac:dyDescent="0.2">
      <c r="A8" t="s">
        <v>4</v>
      </c>
      <c r="H8" s="3"/>
    </row>
    <row r="9" spans="1:8" x14ac:dyDescent="0.2">
      <c r="A9" t="s">
        <v>5</v>
      </c>
      <c r="H9" s="3">
        <f>H6+H7+H8</f>
        <v>0</v>
      </c>
    </row>
    <row r="10" spans="1:8" x14ac:dyDescent="0.2">
      <c r="H10" s="3"/>
    </row>
    <row r="11" spans="1:8" x14ac:dyDescent="0.2">
      <c r="A11" t="s">
        <v>6</v>
      </c>
      <c r="H11" s="3"/>
    </row>
    <row r="12" spans="1:8" x14ac:dyDescent="0.2">
      <c r="B12" t="s">
        <v>7</v>
      </c>
      <c r="E12" s="7"/>
      <c r="F12" t="s">
        <v>8</v>
      </c>
      <c r="H12" s="3">
        <f>H9*E12</f>
        <v>0</v>
      </c>
    </row>
    <row r="13" spans="1:8" x14ac:dyDescent="0.2">
      <c r="B13" t="s">
        <v>9</v>
      </c>
      <c r="C13" s="20">
        <v>6.4500000000000002E-2</v>
      </c>
      <c r="D13" t="s">
        <v>8</v>
      </c>
      <c r="H13" s="3">
        <f>H9*C13</f>
        <v>0</v>
      </c>
    </row>
    <row r="14" spans="1:8" x14ac:dyDescent="0.2">
      <c r="B14" t="s">
        <v>10</v>
      </c>
      <c r="C14" s="20">
        <v>1.4500000000000001E-2</v>
      </c>
      <c r="D14" t="s">
        <v>8</v>
      </c>
      <c r="H14" s="3">
        <f>H9*C14</f>
        <v>0</v>
      </c>
    </row>
    <row r="15" spans="1:8" x14ac:dyDescent="0.2">
      <c r="B15" t="s">
        <v>11</v>
      </c>
      <c r="C15" s="7"/>
      <c r="D15" t="s">
        <v>8</v>
      </c>
      <c r="H15" s="3">
        <f>H9*C15</f>
        <v>0</v>
      </c>
    </row>
    <row r="16" spans="1:8" x14ac:dyDescent="0.2">
      <c r="B16" t="s">
        <v>12</v>
      </c>
      <c r="E16" s="7"/>
      <c r="F16" t="s">
        <v>8</v>
      </c>
      <c r="H16" s="3">
        <f>H9*E16</f>
        <v>0</v>
      </c>
    </row>
    <row r="17" spans="1:8" x14ac:dyDescent="0.2">
      <c r="B17" t="s">
        <v>13</v>
      </c>
      <c r="D17" s="7"/>
      <c r="E17" t="s">
        <v>14</v>
      </c>
      <c r="H17" s="3">
        <f>12*D17</f>
        <v>0</v>
      </c>
    </row>
    <row r="18" spans="1:8" x14ac:dyDescent="0.2">
      <c r="B18" t="s">
        <v>15</v>
      </c>
      <c r="H18" s="3"/>
    </row>
    <row r="19" spans="1:8" x14ac:dyDescent="0.2">
      <c r="A19" t="s">
        <v>16</v>
      </c>
      <c r="H19" s="3">
        <f>SUM(H12:H18)</f>
        <v>0</v>
      </c>
    </row>
    <row r="20" spans="1:8" x14ac:dyDescent="0.2">
      <c r="A20" t="s">
        <v>17</v>
      </c>
      <c r="H20" s="4">
        <f>IF(H9=0,0,H19/H9)</f>
        <v>0</v>
      </c>
    </row>
    <row r="21" spans="1:8" ht="15.75" x14ac:dyDescent="0.25">
      <c r="A21" s="2" t="s">
        <v>51</v>
      </c>
      <c r="H21" s="17">
        <f>H9+H19</f>
        <v>0</v>
      </c>
    </row>
    <row r="23" spans="1:8" x14ac:dyDescent="0.2">
      <c r="A23" t="s">
        <v>18</v>
      </c>
      <c r="C23" s="7"/>
      <c r="D23" t="s">
        <v>19</v>
      </c>
      <c r="E23">
        <v>52</v>
      </c>
      <c r="F23" t="s">
        <v>20</v>
      </c>
      <c r="H23" s="6">
        <f>C23*E23</f>
        <v>0</v>
      </c>
    </row>
    <row r="24" spans="1:8" x14ac:dyDescent="0.2">
      <c r="A24" t="s">
        <v>21</v>
      </c>
      <c r="B24" t="s">
        <v>22</v>
      </c>
      <c r="D24" s="7"/>
      <c r="E24" t="s">
        <v>23</v>
      </c>
      <c r="H24" s="6">
        <f t="shared" ref="H24:H26" si="0">D24*8</f>
        <v>0</v>
      </c>
    </row>
    <row r="25" spans="1:8" x14ac:dyDescent="0.2">
      <c r="B25" t="s">
        <v>24</v>
      </c>
      <c r="D25" s="7"/>
      <c r="E25" t="s">
        <v>23</v>
      </c>
      <c r="H25" s="6">
        <f t="shared" si="0"/>
        <v>0</v>
      </c>
    </row>
    <row r="26" spans="1:8" x14ac:dyDescent="0.2">
      <c r="B26" t="s">
        <v>25</v>
      </c>
      <c r="D26" s="7"/>
      <c r="E26" t="s">
        <v>23</v>
      </c>
      <c r="H26" s="6">
        <f t="shared" si="0"/>
        <v>0</v>
      </c>
    </row>
    <row r="27" spans="1:8" x14ac:dyDescent="0.2">
      <c r="B27" t="s">
        <v>26</v>
      </c>
      <c r="H27" s="6">
        <f>H23-H24-H25-H26</f>
        <v>0</v>
      </c>
    </row>
    <row r="28" spans="1:8" x14ac:dyDescent="0.2">
      <c r="B28" t="s">
        <v>27</v>
      </c>
      <c r="C28" s="7"/>
      <c r="D28" t="s">
        <v>28</v>
      </c>
      <c r="F28" s="7">
        <f>H27/8</f>
        <v>0</v>
      </c>
      <c r="G28" t="s">
        <v>29</v>
      </c>
      <c r="H28" s="6">
        <f>(C28*F28)/60</f>
        <v>0</v>
      </c>
    </row>
    <row r="29" spans="1:8" x14ac:dyDescent="0.2">
      <c r="B29" t="s">
        <v>30</v>
      </c>
      <c r="D29" s="7"/>
      <c r="E29" t="s">
        <v>31</v>
      </c>
      <c r="H29" s="6">
        <f>(H27/8)*D29</f>
        <v>0</v>
      </c>
    </row>
    <row r="30" spans="1:8" x14ac:dyDescent="0.2">
      <c r="B30" t="s">
        <v>32</v>
      </c>
      <c r="F30" s="9"/>
      <c r="H30" s="6">
        <f>F30</f>
        <v>0</v>
      </c>
    </row>
    <row r="31" spans="1:8" ht="15.75" x14ac:dyDescent="0.25">
      <c r="A31" s="2" t="s">
        <v>33</v>
      </c>
      <c r="H31" s="18">
        <f>H27-H28-H29-F30</f>
        <v>0</v>
      </c>
    </row>
    <row r="33" spans="1:8" ht="15.75" x14ac:dyDescent="0.25">
      <c r="A33" s="2" t="s">
        <v>34</v>
      </c>
      <c r="H33" s="19">
        <f>IF(H31=0,0,H21/H31)</f>
        <v>0</v>
      </c>
    </row>
    <row r="34" spans="1:8" x14ac:dyDescent="0.2">
      <c r="H34" s="5"/>
    </row>
    <row r="35" spans="1:8" x14ac:dyDescent="0.2">
      <c r="A35" s="2" t="s">
        <v>35</v>
      </c>
      <c r="H35" s="5"/>
    </row>
    <row r="36" spans="1:8" x14ac:dyDescent="0.2">
      <c r="H36" s="5"/>
    </row>
    <row r="37" spans="1:8" x14ac:dyDescent="0.2">
      <c r="A37" t="s">
        <v>37</v>
      </c>
      <c r="D37" s="11"/>
      <c r="E37" t="s">
        <v>38</v>
      </c>
      <c r="H37" s="10">
        <f>D37*12</f>
        <v>0</v>
      </c>
    </row>
    <row r="38" spans="1:8" x14ac:dyDescent="0.2">
      <c r="A38" t="s">
        <v>39</v>
      </c>
      <c r="D38" s="11"/>
      <c r="H38" s="10">
        <v>0</v>
      </c>
    </row>
    <row r="39" spans="1:8" x14ac:dyDescent="0.2">
      <c r="A39" t="s">
        <v>46</v>
      </c>
      <c r="D39" s="11"/>
      <c r="E39" t="s">
        <v>38</v>
      </c>
      <c r="H39" s="10">
        <f>D39*12</f>
        <v>0</v>
      </c>
    </row>
    <row r="40" spans="1:8" x14ac:dyDescent="0.2">
      <c r="A40" t="s">
        <v>40</v>
      </c>
      <c r="D40" s="11"/>
      <c r="H40" s="10">
        <v>0</v>
      </c>
    </row>
    <row r="41" spans="1:8" x14ac:dyDescent="0.2">
      <c r="A41" t="s">
        <v>47</v>
      </c>
      <c r="D41" s="11"/>
      <c r="E41" t="s">
        <v>38</v>
      </c>
      <c r="H41" s="10">
        <f>D41*12</f>
        <v>0</v>
      </c>
    </row>
    <row r="42" spans="1:8" x14ac:dyDescent="0.2">
      <c r="A42" t="s">
        <v>41</v>
      </c>
      <c r="D42" s="11"/>
      <c r="H42" s="10">
        <v>0</v>
      </c>
    </row>
    <row r="43" spans="1:8" x14ac:dyDescent="0.2">
      <c r="A43" t="s">
        <v>42</v>
      </c>
      <c r="D43" s="11"/>
      <c r="E43" s="14" t="s">
        <v>43</v>
      </c>
      <c r="F43" s="15"/>
      <c r="H43" s="10">
        <f>D43*50</f>
        <v>0</v>
      </c>
    </row>
    <row r="44" spans="1:8" x14ac:dyDescent="0.2">
      <c r="A44" t="s">
        <v>44</v>
      </c>
      <c r="D44" s="11"/>
      <c r="E44" s="12" t="s">
        <v>45</v>
      </c>
      <c r="F44" s="13"/>
      <c r="G44" s="11"/>
      <c r="H44" s="10">
        <f>D44*G44</f>
        <v>0</v>
      </c>
    </row>
    <row r="45" spans="1:8" x14ac:dyDescent="0.2">
      <c r="A45" t="s">
        <v>48</v>
      </c>
      <c r="D45" s="11"/>
      <c r="H45" s="10">
        <v>0</v>
      </c>
    </row>
    <row r="46" spans="1:8" x14ac:dyDescent="0.2">
      <c r="H46" s="10">
        <v>0</v>
      </c>
    </row>
    <row r="47" spans="1:8" ht="15.75" x14ac:dyDescent="0.25">
      <c r="A47" s="2" t="s">
        <v>49</v>
      </c>
      <c r="H47" s="16">
        <f>SUM(H37:H46)</f>
        <v>0</v>
      </c>
    </row>
    <row r="48" spans="1:8" x14ac:dyDescent="0.2">
      <c r="H48" s="10"/>
    </row>
    <row r="49" spans="1:8" ht="15.75" x14ac:dyDescent="0.25">
      <c r="A49" s="2" t="s">
        <v>50</v>
      </c>
      <c r="H49" s="17">
        <f>H21+H47</f>
        <v>0</v>
      </c>
    </row>
    <row r="51" spans="1:8" ht="15.75" x14ac:dyDescent="0.25">
      <c r="A51" s="2" t="s">
        <v>36</v>
      </c>
      <c r="H51" s="22" t="e">
        <f>H49/H31</f>
        <v>#DIV/0!</v>
      </c>
    </row>
  </sheetData>
  <mergeCells count="3">
    <mergeCell ref="E44:F44"/>
    <mergeCell ref="E43:F43"/>
    <mergeCell ref="C4:F4"/>
  </mergeCells>
  <pageMargins left="0.75" right="0.75" top="1" bottom="1" header="0.5" footer="0.5"/>
  <pageSetup orientation="portrait" horizontalDpi="300" verticalDpi="300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Value Calculator</vt:lpstr>
      <vt:lpstr>Fully Burdened Cost Calculator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Falkenhan</dc:creator>
  <cp:lastModifiedBy>Joseph Pfeiffer</cp:lastModifiedBy>
  <dcterms:created xsi:type="dcterms:W3CDTF">1996-02-26T02:36:27Z</dcterms:created>
  <dcterms:modified xsi:type="dcterms:W3CDTF">2015-06-23T21:27:53Z</dcterms:modified>
</cp:coreProperties>
</file>