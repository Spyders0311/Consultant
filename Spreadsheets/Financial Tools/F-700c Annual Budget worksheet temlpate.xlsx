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FSBDC\Operations Manual Template\Financial Tools\"/>
    </mc:Choice>
  </mc:AlternateContent>
  <xr:revisionPtr revIDLastSave="0" documentId="8_{1B426034-8B0B-4953-9F87-3283C96E6F4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rofit &amp; Loss" sheetId="1" r:id="rId1"/>
    <sheet name="EULA" sheetId="2" r:id="rId2"/>
  </sheets>
  <definedNames>
    <definedName name="_xlnm.Print_Area" localSheetId="0">'Profit &amp; Loss'!$A$1:$AC$100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98" i="1" l="1"/>
  <c r="U98" i="1" s="1"/>
  <c r="U96" i="1"/>
  <c r="U95" i="1"/>
  <c r="U89" i="1"/>
  <c r="T89" i="1"/>
  <c r="U87" i="1"/>
  <c r="U86" i="1"/>
  <c r="U85" i="1"/>
  <c r="U84" i="1"/>
  <c r="U78" i="1"/>
  <c r="T78" i="1"/>
  <c r="U76" i="1"/>
  <c r="U75" i="1"/>
  <c r="U74" i="1"/>
  <c r="U69" i="1"/>
  <c r="T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1" i="1"/>
  <c r="T51" i="1"/>
  <c r="U50" i="1"/>
  <c r="U49" i="1"/>
  <c r="U48" i="1"/>
  <c r="U47" i="1"/>
  <c r="T44" i="1"/>
  <c r="T70" i="1" s="1"/>
  <c r="U43" i="1"/>
  <c r="U42" i="1"/>
  <c r="U41" i="1"/>
  <c r="U40" i="1"/>
  <c r="R98" i="1"/>
  <c r="S98" i="1" s="1"/>
  <c r="S96" i="1"/>
  <c r="S95" i="1"/>
  <c r="S89" i="1"/>
  <c r="R89" i="1"/>
  <c r="S87" i="1"/>
  <c r="S86" i="1"/>
  <c r="S85" i="1"/>
  <c r="S84" i="1"/>
  <c r="S78" i="1"/>
  <c r="R78" i="1"/>
  <c r="S76" i="1"/>
  <c r="S75" i="1"/>
  <c r="S74" i="1"/>
  <c r="R70" i="1"/>
  <c r="S70" i="1" s="1"/>
  <c r="R69" i="1"/>
  <c r="S69" i="1" s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1" i="1"/>
  <c r="R51" i="1"/>
  <c r="S50" i="1"/>
  <c r="S49" i="1"/>
  <c r="S48" i="1"/>
  <c r="S47" i="1"/>
  <c r="S44" i="1"/>
  <c r="R44" i="1"/>
  <c r="S43" i="1"/>
  <c r="S42" i="1"/>
  <c r="S41" i="1"/>
  <c r="S40" i="1"/>
  <c r="P98" i="1"/>
  <c r="Q98" i="1" s="1"/>
  <c r="Q96" i="1"/>
  <c r="Q95" i="1"/>
  <c r="Q89" i="1"/>
  <c r="P89" i="1"/>
  <c r="Q87" i="1"/>
  <c r="Q86" i="1"/>
  <c r="Q85" i="1"/>
  <c r="Q84" i="1"/>
  <c r="Q78" i="1"/>
  <c r="P78" i="1"/>
  <c r="Q76" i="1"/>
  <c r="Q75" i="1"/>
  <c r="Q74" i="1"/>
  <c r="P69" i="1"/>
  <c r="Q69" i="1" s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1" i="1"/>
  <c r="P51" i="1"/>
  <c r="Q50" i="1"/>
  <c r="Q49" i="1"/>
  <c r="Q48" i="1"/>
  <c r="Q47" i="1"/>
  <c r="Q44" i="1"/>
  <c r="P44" i="1"/>
  <c r="P70" i="1" s="1"/>
  <c r="Q43" i="1"/>
  <c r="Q42" i="1"/>
  <c r="Q41" i="1"/>
  <c r="Q40" i="1"/>
  <c r="N98" i="1"/>
  <c r="O98" i="1" s="1"/>
  <c r="O96" i="1"/>
  <c r="O95" i="1"/>
  <c r="O89" i="1"/>
  <c r="N89" i="1"/>
  <c r="O87" i="1"/>
  <c r="O86" i="1"/>
  <c r="O85" i="1"/>
  <c r="O84" i="1"/>
  <c r="O78" i="1"/>
  <c r="N78" i="1"/>
  <c r="O76" i="1"/>
  <c r="O75" i="1"/>
  <c r="O74" i="1"/>
  <c r="N69" i="1"/>
  <c r="O69" i="1" s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1" i="1"/>
  <c r="N51" i="1"/>
  <c r="O50" i="1"/>
  <c r="O49" i="1"/>
  <c r="O48" i="1"/>
  <c r="O47" i="1"/>
  <c r="N44" i="1"/>
  <c r="N70" i="1" s="1"/>
  <c r="O43" i="1"/>
  <c r="O42" i="1"/>
  <c r="O41" i="1"/>
  <c r="O40" i="1"/>
  <c r="M98" i="1"/>
  <c r="L98" i="1"/>
  <c r="M96" i="1"/>
  <c r="M95" i="1"/>
  <c r="L89" i="1"/>
  <c r="M89" i="1" s="1"/>
  <c r="M87" i="1"/>
  <c r="M86" i="1"/>
  <c r="M85" i="1"/>
  <c r="M84" i="1"/>
  <c r="L78" i="1"/>
  <c r="M78" i="1" s="1"/>
  <c r="M76" i="1"/>
  <c r="M75" i="1"/>
  <c r="M74" i="1"/>
  <c r="M69" i="1"/>
  <c r="L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L51" i="1"/>
  <c r="M51" i="1" s="1"/>
  <c r="M50" i="1"/>
  <c r="M49" i="1"/>
  <c r="M48" i="1"/>
  <c r="M47" i="1"/>
  <c r="L44" i="1"/>
  <c r="L70" i="1" s="1"/>
  <c r="M43" i="1"/>
  <c r="M42" i="1"/>
  <c r="M41" i="1"/>
  <c r="M40" i="1"/>
  <c r="J98" i="1"/>
  <c r="K98" i="1" s="1"/>
  <c r="K96" i="1"/>
  <c r="K95" i="1"/>
  <c r="K89" i="1"/>
  <c r="J89" i="1"/>
  <c r="K87" i="1"/>
  <c r="K86" i="1"/>
  <c r="K85" i="1"/>
  <c r="K84" i="1"/>
  <c r="K78" i="1"/>
  <c r="J78" i="1"/>
  <c r="K76" i="1"/>
  <c r="K75" i="1"/>
  <c r="K74" i="1"/>
  <c r="J69" i="1"/>
  <c r="J70" i="1" s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1" i="1"/>
  <c r="J51" i="1"/>
  <c r="K50" i="1"/>
  <c r="K49" i="1"/>
  <c r="K48" i="1"/>
  <c r="K47" i="1"/>
  <c r="K44" i="1"/>
  <c r="J44" i="1"/>
  <c r="K43" i="1"/>
  <c r="K42" i="1"/>
  <c r="K41" i="1"/>
  <c r="K40" i="1"/>
  <c r="H98" i="1"/>
  <c r="I98" i="1" s="1"/>
  <c r="I96" i="1"/>
  <c r="I95" i="1"/>
  <c r="I89" i="1"/>
  <c r="H89" i="1"/>
  <c r="I87" i="1"/>
  <c r="I86" i="1"/>
  <c r="I85" i="1"/>
  <c r="I84" i="1"/>
  <c r="I78" i="1"/>
  <c r="H78" i="1"/>
  <c r="I76" i="1"/>
  <c r="I75" i="1"/>
  <c r="I74" i="1"/>
  <c r="H70" i="1"/>
  <c r="I70" i="1" s="1"/>
  <c r="H69" i="1"/>
  <c r="I69" i="1" s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1" i="1"/>
  <c r="H51" i="1"/>
  <c r="I50" i="1"/>
  <c r="I49" i="1"/>
  <c r="I48" i="1"/>
  <c r="I47" i="1"/>
  <c r="I44" i="1"/>
  <c r="H44" i="1"/>
  <c r="I43" i="1"/>
  <c r="I42" i="1"/>
  <c r="I41" i="1"/>
  <c r="I40" i="1"/>
  <c r="F98" i="1"/>
  <c r="G98" i="1" s="1"/>
  <c r="G96" i="1"/>
  <c r="G95" i="1"/>
  <c r="F89" i="1"/>
  <c r="G89" i="1" s="1"/>
  <c r="G87" i="1"/>
  <c r="G86" i="1"/>
  <c r="G85" i="1"/>
  <c r="G84" i="1"/>
  <c r="F78" i="1"/>
  <c r="G78" i="1" s="1"/>
  <c r="G76" i="1"/>
  <c r="G75" i="1"/>
  <c r="G74" i="1"/>
  <c r="G69" i="1"/>
  <c r="F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F51" i="1"/>
  <c r="G51" i="1" s="1"/>
  <c r="G50" i="1"/>
  <c r="G49" i="1"/>
  <c r="G48" i="1"/>
  <c r="G47" i="1"/>
  <c r="F44" i="1"/>
  <c r="F70" i="1" s="1"/>
  <c r="G43" i="1"/>
  <c r="G42" i="1"/>
  <c r="G41" i="1"/>
  <c r="G40" i="1"/>
  <c r="T32" i="1"/>
  <c r="U21" i="1"/>
  <c r="T21" i="1"/>
  <c r="U19" i="1"/>
  <c r="U18" i="1"/>
  <c r="U17" i="1"/>
  <c r="U16" i="1"/>
  <c r="T12" i="1"/>
  <c r="U12" i="1" s="1"/>
  <c r="U10" i="1"/>
  <c r="U9" i="1"/>
  <c r="U8" i="1"/>
  <c r="U7" i="1"/>
  <c r="R32" i="1"/>
  <c r="R21" i="1"/>
  <c r="S21" i="1" s="1"/>
  <c r="S19" i="1"/>
  <c r="S18" i="1"/>
  <c r="S17" i="1"/>
  <c r="S16" i="1"/>
  <c r="S12" i="1"/>
  <c r="R12" i="1"/>
  <c r="R23" i="1" s="1"/>
  <c r="S10" i="1"/>
  <c r="S9" i="1"/>
  <c r="S8" i="1"/>
  <c r="S7" i="1"/>
  <c r="P32" i="1"/>
  <c r="P21" i="1"/>
  <c r="Q21" i="1" s="1"/>
  <c r="Q19" i="1"/>
  <c r="Q18" i="1"/>
  <c r="Q17" i="1"/>
  <c r="Q16" i="1"/>
  <c r="P12" i="1"/>
  <c r="Q12" i="1" s="1"/>
  <c r="Q10" i="1"/>
  <c r="Q9" i="1"/>
  <c r="Q8" i="1"/>
  <c r="Q7" i="1"/>
  <c r="N32" i="1"/>
  <c r="N21" i="1"/>
  <c r="O21" i="1" s="1"/>
  <c r="O19" i="1"/>
  <c r="O18" i="1"/>
  <c r="O17" i="1"/>
  <c r="O16" i="1"/>
  <c r="N12" i="1"/>
  <c r="O12" i="1" s="1"/>
  <c r="O10" i="1"/>
  <c r="O9" i="1"/>
  <c r="O8" i="1"/>
  <c r="O7" i="1"/>
  <c r="L32" i="1"/>
  <c r="L21" i="1"/>
  <c r="M21" i="1" s="1"/>
  <c r="M19" i="1"/>
  <c r="M18" i="1"/>
  <c r="M17" i="1"/>
  <c r="M16" i="1"/>
  <c r="L12" i="1"/>
  <c r="M12" i="1" s="1"/>
  <c r="M10" i="1"/>
  <c r="M9" i="1"/>
  <c r="M8" i="1"/>
  <c r="M7" i="1"/>
  <c r="J32" i="1"/>
  <c r="J21" i="1"/>
  <c r="K21" i="1" s="1"/>
  <c r="K19" i="1"/>
  <c r="K18" i="1"/>
  <c r="K17" i="1"/>
  <c r="K16" i="1"/>
  <c r="J12" i="1"/>
  <c r="K12" i="1" s="1"/>
  <c r="K10" i="1"/>
  <c r="K9" i="1"/>
  <c r="K8" i="1"/>
  <c r="K7" i="1"/>
  <c r="H32" i="1"/>
  <c r="H21" i="1"/>
  <c r="I21" i="1" s="1"/>
  <c r="I19" i="1"/>
  <c r="I18" i="1"/>
  <c r="I17" i="1"/>
  <c r="I16" i="1"/>
  <c r="H12" i="1"/>
  <c r="I12" i="1" s="1"/>
  <c r="I10" i="1"/>
  <c r="I9" i="1"/>
  <c r="I8" i="1"/>
  <c r="I7" i="1"/>
  <c r="F32" i="1"/>
  <c r="F21" i="1"/>
  <c r="G21" i="1" s="1"/>
  <c r="G19" i="1"/>
  <c r="G18" i="1"/>
  <c r="G17" i="1"/>
  <c r="G16" i="1"/>
  <c r="F12" i="1"/>
  <c r="G12" i="1" s="1"/>
  <c r="G10" i="1"/>
  <c r="G9" i="1"/>
  <c r="G8" i="1"/>
  <c r="G7" i="1"/>
  <c r="U4" i="1"/>
  <c r="S4" i="1"/>
  <c r="Q4" i="1"/>
  <c r="O4" i="1"/>
  <c r="M4" i="1"/>
  <c r="K4" i="1"/>
  <c r="I4" i="1"/>
  <c r="G4" i="1"/>
  <c r="U70" i="1" l="1"/>
  <c r="T80" i="1"/>
  <c r="U80" i="1" s="1"/>
  <c r="T91" i="1"/>
  <c r="T100" i="1" s="1"/>
  <c r="U100" i="1" s="1"/>
  <c r="U44" i="1"/>
  <c r="R80" i="1"/>
  <c r="S80" i="1" s="1"/>
  <c r="R91" i="1"/>
  <c r="R100" i="1" s="1"/>
  <c r="S100" i="1" s="1"/>
  <c r="Q70" i="1"/>
  <c r="P91" i="1"/>
  <c r="P100" i="1" s="1"/>
  <c r="Q100" i="1" s="1"/>
  <c r="P80" i="1"/>
  <c r="Q80" i="1" s="1"/>
  <c r="O70" i="1"/>
  <c r="N91" i="1"/>
  <c r="N100" i="1" s="1"/>
  <c r="O100" i="1" s="1"/>
  <c r="N80" i="1"/>
  <c r="O80" i="1" s="1"/>
  <c r="O44" i="1"/>
  <c r="L80" i="1"/>
  <c r="M80" i="1" s="1"/>
  <c r="M70" i="1"/>
  <c r="L91" i="1"/>
  <c r="L100" i="1" s="1"/>
  <c r="M100" i="1" s="1"/>
  <c r="M44" i="1"/>
  <c r="K70" i="1"/>
  <c r="J91" i="1"/>
  <c r="J100" i="1" s="1"/>
  <c r="K100" i="1" s="1"/>
  <c r="J80" i="1"/>
  <c r="K80" i="1" s="1"/>
  <c r="K69" i="1"/>
  <c r="H80" i="1"/>
  <c r="I80" i="1" s="1"/>
  <c r="H91" i="1"/>
  <c r="H100" i="1" s="1"/>
  <c r="I100" i="1" s="1"/>
  <c r="G70" i="1"/>
  <c r="F91" i="1"/>
  <c r="F100" i="1" s="1"/>
  <c r="G100" i="1" s="1"/>
  <c r="F80" i="1"/>
  <c r="G80" i="1" s="1"/>
  <c r="G44" i="1"/>
  <c r="T23" i="1"/>
  <c r="R34" i="1"/>
  <c r="S34" i="1" s="1"/>
  <c r="S23" i="1"/>
  <c r="P23" i="1"/>
  <c r="N23" i="1"/>
  <c r="L23" i="1"/>
  <c r="J23" i="1"/>
  <c r="H23" i="1"/>
  <c r="F23" i="1"/>
  <c r="H3" i="2"/>
  <c r="D12" i="1"/>
  <c r="AA87" i="1" s="1"/>
  <c r="D21" i="1"/>
  <c r="E21" i="1" s="1"/>
  <c r="Z12" i="1"/>
  <c r="Z21" i="1"/>
  <c r="AA21" i="1" s="1"/>
  <c r="Z32" i="1"/>
  <c r="Z44" i="1"/>
  <c r="Z51" i="1"/>
  <c r="AA51" i="1" s="1"/>
  <c r="Z69" i="1"/>
  <c r="AA69" i="1" s="1"/>
  <c r="Z70" i="1"/>
  <c r="AA70" i="1" s="1"/>
  <c r="Z89" i="1"/>
  <c r="Z98" i="1"/>
  <c r="AA98" i="1"/>
  <c r="AA96" i="1"/>
  <c r="AA95" i="1"/>
  <c r="AA86" i="1"/>
  <c r="AA85" i="1"/>
  <c r="AA84" i="1"/>
  <c r="Z78" i="1"/>
  <c r="AA75" i="1"/>
  <c r="AA74" i="1"/>
  <c r="AA68" i="1"/>
  <c r="AA67" i="1"/>
  <c r="AA66" i="1"/>
  <c r="AA64" i="1"/>
  <c r="AA61" i="1"/>
  <c r="AA60" i="1"/>
  <c r="AA59" i="1"/>
  <c r="AA58" i="1"/>
  <c r="AA56" i="1"/>
  <c r="AA55" i="1"/>
  <c r="AA50" i="1"/>
  <c r="AA49" i="1"/>
  <c r="AA48" i="1"/>
  <c r="AA44" i="1"/>
  <c r="AA43" i="1"/>
  <c r="AA42" i="1"/>
  <c r="AA19" i="1"/>
  <c r="AA18" i="1"/>
  <c r="AA17" i="1"/>
  <c r="AA16" i="1"/>
  <c r="AA10" i="1"/>
  <c r="AA9" i="1"/>
  <c r="AA4" i="1"/>
  <c r="X12" i="1"/>
  <c r="Y12" i="1" s="1"/>
  <c r="X21" i="1"/>
  <c r="X23" i="1"/>
  <c r="Y23" i="1" s="1"/>
  <c r="X32" i="1"/>
  <c r="X44" i="1"/>
  <c r="Y44" i="1" s="1"/>
  <c r="X51" i="1"/>
  <c r="X69" i="1"/>
  <c r="X89" i="1"/>
  <c r="X98" i="1"/>
  <c r="Y98" i="1" s="1"/>
  <c r="Y96" i="1"/>
  <c r="Y95" i="1"/>
  <c r="Y89" i="1"/>
  <c r="Y87" i="1"/>
  <c r="X78" i="1"/>
  <c r="Y78" i="1"/>
  <c r="Y76" i="1"/>
  <c r="Y75" i="1"/>
  <c r="Y74" i="1"/>
  <c r="Y68" i="1"/>
  <c r="Y65" i="1"/>
  <c r="Y64" i="1"/>
  <c r="Y63" i="1"/>
  <c r="Y61" i="1"/>
  <c r="Y60" i="1"/>
  <c r="Y59" i="1"/>
  <c r="Y56" i="1"/>
  <c r="Y55" i="1"/>
  <c r="Y51" i="1"/>
  <c r="Y50" i="1"/>
  <c r="Y49" i="1"/>
  <c r="Y48" i="1"/>
  <c r="Y43" i="1"/>
  <c r="Y41" i="1"/>
  <c r="Y40" i="1"/>
  <c r="Y21" i="1"/>
  <c r="Y19" i="1"/>
  <c r="Y18" i="1"/>
  <c r="Y10" i="1"/>
  <c r="Y9" i="1"/>
  <c r="Y8" i="1"/>
  <c r="Y7" i="1"/>
  <c r="Y4" i="1"/>
  <c r="V12" i="1"/>
  <c r="V23" i="1" s="1"/>
  <c r="V34" i="1" s="1"/>
  <c r="V21" i="1"/>
  <c r="V32" i="1"/>
  <c r="V44" i="1"/>
  <c r="W44" i="1" s="1"/>
  <c r="V51" i="1"/>
  <c r="W51" i="1" s="1"/>
  <c r="V69" i="1"/>
  <c r="W69" i="1" s="1"/>
  <c r="V89" i="1"/>
  <c r="W89" i="1" s="1"/>
  <c r="V98" i="1"/>
  <c r="W98" i="1" s="1"/>
  <c r="W87" i="1"/>
  <c r="W86" i="1"/>
  <c r="W85" i="1"/>
  <c r="W84" i="1"/>
  <c r="V78" i="1"/>
  <c r="W78" i="1" s="1"/>
  <c r="W74" i="1"/>
  <c r="W68" i="1"/>
  <c r="W66" i="1"/>
  <c r="W65" i="1"/>
  <c r="W64" i="1"/>
  <c r="W63" i="1"/>
  <c r="W60" i="1"/>
  <c r="W58" i="1"/>
  <c r="W57" i="1"/>
  <c r="W56" i="1"/>
  <c r="W55" i="1"/>
  <c r="W54" i="1"/>
  <c r="W48" i="1"/>
  <c r="W47" i="1"/>
  <c r="W43" i="1"/>
  <c r="W42" i="1"/>
  <c r="W41" i="1"/>
  <c r="W40" i="1"/>
  <c r="W18" i="1"/>
  <c r="W17" i="1"/>
  <c r="W16" i="1"/>
  <c r="W9" i="1"/>
  <c r="W8" i="1"/>
  <c r="W4" i="1"/>
  <c r="D32" i="1"/>
  <c r="D44" i="1"/>
  <c r="D51" i="1"/>
  <c r="D69" i="1"/>
  <c r="E69" i="1" s="1"/>
  <c r="D89" i="1"/>
  <c r="E89" i="1" s="1"/>
  <c r="D98" i="1"/>
  <c r="E95" i="1"/>
  <c r="E87" i="1"/>
  <c r="E86" i="1"/>
  <c r="E85" i="1"/>
  <c r="E84" i="1"/>
  <c r="D78" i="1"/>
  <c r="E76" i="1"/>
  <c r="E75" i="1"/>
  <c r="E74" i="1"/>
  <c r="E68" i="1"/>
  <c r="E67" i="1"/>
  <c r="E66" i="1"/>
  <c r="E63" i="1"/>
  <c r="E62" i="1"/>
  <c r="E60" i="1"/>
  <c r="E59" i="1"/>
  <c r="E58" i="1"/>
  <c r="E57" i="1"/>
  <c r="E54" i="1"/>
  <c r="E50" i="1"/>
  <c r="E49" i="1"/>
  <c r="E48" i="1"/>
  <c r="E47" i="1"/>
  <c r="E43" i="1"/>
  <c r="E40" i="1"/>
  <c r="AB8" i="1"/>
  <c r="AB7" i="1"/>
  <c r="AB12" i="1" s="1"/>
  <c r="AB9" i="1"/>
  <c r="AB10" i="1"/>
  <c r="AC10" i="1" s="1"/>
  <c r="AB16" i="1"/>
  <c r="AB21" i="1" s="1"/>
  <c r="AC21" i="1" s="1"/>
  <c r="AB17" i="1"/>
  <c r="AB18" i="1"/>
  <c r="AB19" i="1"/>
  <c r="AB27" i="1"/>
  <c r="AB28" i="1"/>
  <c r="AB29" i="1"/>
  <c r="AB30" i="1"/>
  <c r="AB44" i="1"/>
  <c r="AB51" i="1"/>
  <c r="AB69" i="1"/>
  <c r="AB70" i="1"/>
  <c r="AB89" i="1"/>
  <c r="AB98" i="1"/>
  <c r="AB78" i="1"/>
  <c r="E7" i="1"/>
  <c r="AC4" i="1"/>
  <c r="E4" i="1"/>
  <c r="E19" i="1"/>
  <c r="E18" i="1"/>
  <c r="E17" i="1"/>
  <c r="E16" i="1"/>
  <c r="E12" i="1"/>
  <c r="E10" i="1"/>
  <c r="E9" i="1"/>
  <c r="E8" i="1"/>
  <c r="T34" i="1" l="1"/>
  <c r="U34" i="1" s="1"/>
  <c r="U23" i="1"/>
  <c r="P34" i="1"/>
  <c r="Q34" i="1" s="1"/>
  <c r="Q23" i="1"/>
  <c r="N34" i="1"/>
  <c r="O34" i="1" s="1"/>
  <c r="O23" i="1"/>
  <c r="L34" i="1"/>
  <c r="M34" i="1" s="1"/>
  <c r="M23" i="1"/>
  <c r="J34" i="1"/>
  <c r="K34" i="1" s="1"/>
  <c r="K23" i="1"/>
  <c r="H34" i="1"/>
  <c r="I34" i="1" s="1"/>
  <c r="I23" i="1"/>
  <c r="F34" i="1"/>
  <c r="G34" i="1" s="1"/>
  <c r="G23" i="1"/>
  <c r="AC86" i="1"/>
  <c r="AC95" i="1"/>
  <c r="AC67" i="1"/>
  <c r="AC59" i="1"/>
  <c r="AC49" i="1"/>
  <c r="AC78" i="1"/>
  <c r="W12" i="1"/>
  <c r="AC9" i="1"/>
  <c r="AC70" i="1"/>
  <c r="E55" i="1"/>
  <c r="E64" i="1"/>
  <c r="E78" i="1"/>
  <c r="E96" i="1"/>
  <c r="W19" i="1"/>
  <c r="W50" i="1"/>
  <c r="W61" i="1"/>
  <c r="W75" i="1"/>
  <c r="W96" i="1"/>
  <c r="Y57" i="1"/>
  <c r="Y66" i="1"/>
  <c r="Y85" i="1"/>
  <c r="Y69" i="1"/>
  <c r="AA40" i="1"/>
  <c r="AA62" i="1"/>
  <c r="AA78" i="1"/>
  <c r="Z23" i="1"/>
  <c r="AA23" i="1" s="1"/>
  <c r="AB32" i="1"/>
  <c r="D70" i="1"/>
  <c r="AC69" i="1"/>
  <c r="AC18" i="1"/>
  <c r="E42" i="1"/>
  <c r="E56" i="1"/>
  <c r="E65" i="1"/>
  <c r="E98" i="1"/>
  <c r="W7" i="1"/>
  <c r="W21" i="1"/>
  <c r="W62" i="1"/>
  <c r="W76" i="1"/>
  <c r="Y16" i="1"/>
  <c r="Y47" i="1"/>
  <c r="Y58" i="1"/>
  <c r="Y67" i="1"/>
  <c r="Y86" i="1"/>
  <c r="X70" i="1"/>
  <c r="X91" i="1" s="1"/>
  <c r="X100" i="1" s="1"/>
  <c r="Y100" i="1" s="1"/>
  <c r="AA7" i="1"/>
  <c r="AA41" i="1"/>
  <c r="AA54" i="1"/>
  <c r="AA63" i="1"/>
  <c r="AA89" i="1"/>
  <c r="D23" i="1"/>
  <c r="X34" i="1"/>
  <c r="Y34" i="1" s="1"/>
  <c r="W34" i="1"/>
  <c r="Z34" i="1"/>
  <c r="Y70" i="1"/>
  <c r="E70" i="1"/>
  <c r="D80" i="1"/>
  <c r="E80" i="1" s="1"/>
  <c r="AC12" i="1"/>
  <c r="AB80" i="1"/>
  <c r="AC80" i="1" s="1"/>
  <c r="AC61" i="1"/>
  <c r="AA12" i="1"/>
  <c r="AC19" i="1"/>
  <c r="AC56" i="1"/>
  <c r="AC75" i="1"/>
  <c r="AC8" i="1"/>
  <c r="AC47" i="1"/>
  <c r="AC57" i="1"/>
  <c r="AC65" i="1"/>
  <c r="AC76" i="1"/>
  <c r="AC87" i="1"/>
  <c r="W23" i="1"/>
  <c r="AC48" i="1"/>
  <c r="AC58" i="1"/>
  <c r="AC66" i="1"/>
  <c r="AC89" i="1"/>
  <c r="E41" i="1"/>
  <c r="E51" i="1"/>
  <c r="E61" i="1"/>
  <c r="W10" i="1"/>
  <c r="W49" i="1"/>
  <c r="W59" i="1"/>
  <c r="W67" i="1"/>
  <c r="W95" i="1"/>
  <c r="V70" i="1"/>
  <c r="Y17" i="1"/>
  <c r="Y42" i="1"/>
  <c r="Y54" i="1"/>
  <c r="Y62" i="1"/>
  <c r="Y84" i="1"/>
  <c r="AA8" i="1"/>
  <c r="AA47" i="1"/>
  <c r="AA57" i="1"/>
  <c r="AA65" i="1"/>
  <c r="AA76" i="1"/>
  <c r="AC40" i="1"/>
  <c r="AC96" i="1"/>
  <c r="AC16" i="1"/>
  <c r="AC42" i="1"/>
  <c r="AC50" i="1"/>
  <c r="AC51" i="1"/>
  <c r="AB23" i="1"/>
  <c r="E44" i="1"/>
  <c r="Z80" i="1"/>
  <c r="AA80" i="1" s="1"/>
  <c r="AC17" i="1"/>
  <c r="AC54" i="1"/>
  <c r="AC62" i="1"/>
  <c r="AC84" i="1"/>
  <c r="AC43" i="1"/>
  <c r="AC55" i="1"/>
  <c r="AC63" i="1"/>
  <c r="AC74" i="1"/>
  <c r="AC85" i="1"/>
  <c r="AC60" i="1"/>
  <c r="AC68" i="1"/>
  <c r="AC41" i="1"/>
  <c r="AC98" i="1"/>
  <c r="AC7" i="1"/>
  <c r="AC44" i="1"/>
  <c r="AC64" i="1"/>
  <c r="X80" i="1" l="1"/>
  <c r="Y80" i="1" s="1"/>
  <c r="E23" i="1"/>
  <c r="D34" i="1"/>
  <c r="V80" i="1"/>
  <c r="W80" i="1" s="1"/>
  <c r="W70" i="1"/>
  <c r="Z91" i="1"/>
  <c r="Z100" i="1" s="1"/>
  <c r="AA100" i="1" s="1"/>
  <c r="AA34" i="1"/>
  <c r="V91" i="1"/>
  <c r="V100" i="1" s="1"/>
  <c r="W100" i="1" s="1"/>
  <c r="AB34" i="1"/>
  <c r="AC23" i="1"/>
  <c r="E34" i="1" l="1"/>
  <c r="D91" i="1"/>
  <c r="D100" i="1" s="1"/>
  <c r="E100" i="1" s="1"/>
  <c r="AC34" i="1"/>
  <c r="AB91" i="1"/>
  <c r="AB100" i="1" s="1"/>
  <c r="AC100" i="1" s="1"/>
</calcChain>
</file>

<file path=xl/sharedStrings.xml><?xml version="1.0" encoding="utf-8"?>
<sst xmlns="http://schemas.openxmlformats.org/spreadsheetml/2006/main" count="131" uniqueCount="121">
  <si>
    <t>Sales Revenue</t>
  </si>
  <si>
    <t>Product/Service 1</t>
  </si>
  <si>
    <t>Product/Service 2</t>
  </si>
  <si>
    <t>Product/Service 3</t>
  </si>
  <si>
    <t>Product/Service 4</t>
  </si>
  <si>
    <t>Cost of Sales</t>
  </si>
  <si>
    <t>Operating Expenses</t>
  </si>
  <si>
    <t>Advertising</t>
  </si>
  <si>
    <t>Direct marketing</t>
  </si>
  <si>
    <t>Other expenses (specify)</t>
  </si>
  <si>
    <t>Technology licenses</t>
  </si>
  <si>
    <t xml:space="preserve">Patents </t>
  </si>
  <si>
    <t>Wages and salaries</t>
  </si>
  <si>
    <t>Outside services</t>
  </si>
  <si>
    <t>Supplies</t>
  </si>
  <si>
    <t>Meals and entertainment</t>
  </si>
  <si>
    <t>Rent</t>
  </si>
  <si>
    <t>Telephone</t>
  </si>
  <si>
    <t>Utilities</t>
  </si>
  <si>
    <t>Depreciation</t>
  </si>
  <si>
    <t>Insurance</t>
  </si>
  <si>
    <t>Repairs and maintenance</t>
  </si>
  <si>
    <t>Income taxes</t>
  </si>
  <si>
    <t>Payroll taxes</t>
  </si>
  <si>
    <t>Real estate taxes</t>
  </si>
  <si>
    <t>Other taxes (specify)</t>
  </si>
  <si>
    <t>Non-Operation Income</t>
  </si>
  <si>
    <t xml:space="preserve">Interest </t>
  </si>
  <si>
    <t xml:space="preserve">Rental </t>
  </si>
  <si>
    <t>Total Non-Operational Income</t>
  </si>
  <si>
    <t>TOTAL INCOME</t>
  </si>
  <si>
    <t>INCOME</t>
  </si>
  <si>
    <t>EXPENSES</t>
  </si>
  <si>
    <t>TAXES</t>
  </si>
  <si>
    <t>Web site maintenance</t>
  </si>
  <si>
    <t>Web site consultancy</t>
  </si>
  <si>
    <t>Web site launch and Web Hosting</t>
  </si>
  <si>
    <t>SHARE DISTRIBUTIONS / DIVIDENDS</t>
  </si>
  <si>
    <t>NET PROFIT</t>
  </si>
  <si>
    <t>Owner Dividends</t>
  </si>
  <si>
    <t>Shareholder Dividends</t>
  </si>
  <si>
    <t>NET INCOME</t>
  </si>
  <si>
    <t>Gifts and Donations Received</t>
  </si>
  <si>
    <t>Non-Recurring Expenses</t>
  </si>
  <si>
    <t>Total Non-Recurring Expenses</t>
  </si>
  <si>
    <t>Rewards and Gifts Given</t>
  </si>
  <si>
    <t>Software and Hardware Equipments</t>
  </si>
  <si>
    <t>Other Income (specify)</t>
  </si>
  <si>
    <t>Total Cost of Sales</t>
  </si>
  <si>
    <t>Total Sales Revenue</t>
  </si>
  <si>
    <t>Gross Profit</t>
  </si>
  <si>
    <t>Total General and Adminstrative Expenses</t>
  </si>
  <si>
    <t>Total Operating Expenses</t>
  </si>
  <si>
    <t>Marketing and Advertising</t>
  </si>
  <si>
    <t>Total Marketing and Advertising Expenses</t>
  </si>
  <si>
    <t>Development</t>
  </si>
  <si>
    <t>Total Development Expenses</t>
  </si>
  <si>
    <t>Adminstrative</t>
  </si>
  <si>
    <t>TOTAL EXPENSES</t>
  </si>
  <si>
    <t>Year</t>
  </si>
  <si>
    <t>PROFIT AND LOSS</t>
  </si>
  <si>
    <t>TOTAL SHARE DISTRIBUTIONS / DIVIDENDS</t>
  </si>
  <si>
    <t>TOTAL TAXES</t>
  </si>
  <si>
    <t>Terms of Use - EULA</t>
  </si>
  <si>
    <t>IMPORTANT—READ CAREFULLY:</t>
  </si>
  <si>
    <t>This End-User License Agreement (”EULA”) is a legal agreement between you and Spreadsheet123.com that</t>
  </si>
  <si>
    <t>covers all Microsoft Excel and OpenOffice.org templates or spreadsheets (”TEMPLATES”) and software ("SOFTWARE") made</t>
  </si>
  <si>
    <t>by Spreadsheet123.com.</t>
  </si>
  <si>
    <t>By downloading, copying, accessing or otherwise using any TEMPLATES or/and SOFTWARE, you agree to be bound by the</t>
  </si>
  <si>
    <t>terms of this EULA.</t>
  </si>
  <si>
    <t>TEMPLATES LICENSE</t>
  </si>
  <si>
    <t>This TEMPLATE is protected by copyright laws and international copyright treaties, as well as other intellectual</t>
  </si>
  <si>
    <t>property laws and treaties. Each TEMPLATE is licensed, not sold.</t>
  </si>
  <si>
    <t>1. GRANT OF LICENSE.</t>
  </si>
  <si>
    <t>or organization.</t>
  </si>
  <si>
    <r>
      <t xml:space="preserve">You may customize this </t>
    </r>
    <r>
      <rPr>
        <b/>
        <sz val="10"/>
        <rFont val="Arial"/>
        <family val="2"/>
      </rPr>
      <t>TEMPLATE</t>
    </r>
    <r>
      <rPr>
        <sz val="10"/>
        <rFont val="Arial"/>
        <family val="2"/>
      </rPr>
      <t xml:space="preserve"> with you personal information and use for its intended purpose in personal calculations</t>
    </r>
  </si>
  <si>
    <t xml:space="preserve">documentation or/and communications, but you may not remove or alter any logo, trademark, copyright, hyperlinks, </t>
  </si>
  <si>
    <t>disclaimers, terms of use or other proprietary notices within this TEMPLATE.</t>
  </si>
  <si>
    <t>You may not sell, resell, license, rent, lease, lend or otherwise transfer for value without written</t>
  </si>
  <si>
    <t>product. You may not copy or post any TEMPLATE on any network computer or broadcast it in any media without</t>
  </si>
  <si>
    <t>written permission of SPREADSHEET123.COM.</t>
  </si>
  <si>
    <t>2. RESERVATION OF RIGHTS.</t>
  </si>
  <si>
    <t xml:space="preserve">All title and copyrights in and to the Template, and any copies of the Template, are owned by Spreadsheet123.com. </t>
  </si>
  <si>
    <t xml:space="preserve">All rights not expressly granted are reserved by Spreadsheet123.com. In particular, this EULA does not grant you any </t>
  </si>
  <si>
    <t>rights in connection with any trademarks or service marks of Spreadsheet123.com. Use of any Template for any purpose</t>
  </si>
  <si>
    <t>other than expressly permitted in this EULA is prohibited, and may result in severe civil and criminal penalties.</t>
  </si>
  <si>
    <t>3. TERMINATION.</t>
  </si>
  <si>
    <r>
      <t xml:space="preserve">Without prejudice to any other rights, </t>
    </r>
    <r>
      <rPr>
        <b/>
        <sz val="11"/>
        <rFont val="Calibri"/>
        <family val="2"/>
      </rPr>
      <t>Spreadsheet123.com</t>
    </r>
    <r>
      <rPr>
        <sz val="10"/>
        <rFont val="Arial"/>
        <family val="2"/>
      </rPr>
      <t xml:space="preserve"> may terminate this EULA if you fail to comply with the</t>
    </r>
  </si>
  <si>
    <t>terms and conditions of this EULA. In such event, you must destroy all copies of any TEMPLATE.</t>
  </si>
  <si>
    <t>4. NOTICE SPECIFIC TO TEMPLATES.</t>
  </si>
  <si>
    <t xml:space="preserve">SPREADSHEET123.COM MAKE NO REPRESENTATIONS </t>
  </si>
  <si>
    <t>ABOUT THE SUITABILITY OF THE TEMPLATES FOR ANY PURPOSE. ALL TEMPLATES ARE PROVIDED</t>
  </si>
  <si>
    <t xml:space="preserve"> “AS IS” WITHOUT WARRANTY OF ANY KIND. SPREADSHEET123.COM HEREBY DISCLAIM ALL </t>
  </si>
  <si>
    <t>WARRANTIES AND CONDITIONS WITH REGARD TO THE TEMPLATES, INCLUDING ALL IMPLIED</t>
  </si>
  <si>
    <t>WARRANTIES AND CONDITIONS OF MERCHANTABILITY, FITNESS FOR A PARTICULAR PURPOSE, TITLE</t>
  </si>
  <si>
    <t>AND NON-INFRINGEMENT. IN NO EVENT SHALL SPREADSHEET123.COM BE LIABLE FOR ANY SPECIAL,</t>
  </si>
  <si>
    <t xml:space="preserve">INDIRECT OR CONSEQUENTIAL DAMAGES OR ANY DAMAGES WHATSOEVER RESULTING FROM LOSS </t>
  </si>
  <si>
    <t xml:space="preserve">OF USE, DATA OR PROFITS, WHETHER IN AN ACTION OF CONTRACT, NEGLIGENCE OR OTHER TORTIOUS </t>
  </si>
  <si>
    <t>ANY REFERENCES TO EVENTS, PEOPLE, PLACES, OR ENTITIES IN THE TEMPLATES IS PURELY FICTITIOUS AND NOT INTENDED TO REPRESENT ANY ACTUAL EVENT,</t>
  </si>
  <si>
    <t>PERSON, PLACE, OR ENTITY. SPREADSHEET123.COM  DISCLAIMS ANY LIKENESS OR SIMILARITIES TO ACTUAL EVENTS, PEOPLE, PLACES, OR ENTITIES, AND</t>
  </si>
  <si>
    <t>ANY SUCH LIKENESS OR SIMILARITIES ARE UNINTENTIONAL AND PURELY COINCIDENTAL.</t>
  </si>
  <si>
    <t>5. MISCELLANEOUS.</t>
  </si>
  <si>
    <t>Some states do not allow the limitation or exclusion of liability for incidental or consequential</t>
  </si>
  <si>
    <t>damages, so the above limitation may not apply to you.</t>
  </si>
  <si>
    <r>
      <t xml:space="preserve">This EULA grants you the right to download this TEMPLATE free of charge for </t>
    </r>
    <r>
      <rPr>
        <b/>
        <sz val="10"/>
        <color indexed="8"/>
        <rFont val="Arial"/>
        <family val="2"/>
      </rPr>
      <t>personal use or use within your company</t>
    </r>
  </si>
  <si>
    <r>
      <t xml:space="preserve">permission of </t>
    </r>
    <r>
      <rPr>
        <b/>
        <sz val="11"/>
        <color indexed="8"/>
        <rFont val="Calibri"/>
        <family val="2"/>
      </rPr>
      <t>SPREADSHEET123.COM</t>
    </r>
  </si>
  <si>
    <r>
      <t xml:space="preserve">You may not distribute this </t>
    </r>
    <r>
      <rPr>
        <b/>
        <sz val="11"/>
        <color indexed="8"/>
        <rFont val="Calibri"/>
        <family val="2"/>
      </rPr>
      <t>TEMPLATE</t>
    </r>
    <r>
      <rPr>
        <sz val="11"/>
        <color indexed="8"/>
        <rFont val="Calibri"/>
        <family val="2"/>
      </rPr>
      <t xml:space="preserve"> in any stand-alone products that contain only the TEMPLATE, or as part of any other </t>
    </r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</si>
  <si>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</si>
  <si>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</si>
  <si>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</si>
  <si>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</si>
  <si>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</si>
  <si>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</si>
  <si>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</si>
  <si>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</si>
  <si>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</si>
  <si>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</si>
  <si>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</si>
  <si>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</si>
  <si>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XYZ COMPANY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</si>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</sst>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[$-409]mmm\-yy;@"/>
  </numFmts>
  <fonts count="2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0"/>
      <color indexed="56"/>
      <name val="Arial"/>
      <family val="2"/>
    </font>
    <font>
      <b/>
      <i/>
      <sz val="10"/>
      <name val="Arial"/>
      <family val="2"/>
    </font>
    <font>
      <sz val="22"/>
      <color indexed="54"/>
      <name val="Arial"/>
      <family val="2"/>
    </font>
    <font>
      <sz val="10"/>
      <color indexed="47"/>
      <name val="Arial"/>
      <family val="2"/>
    </font>
    <font>
      <sz val="12"/>
      <color indexed="47"/>
      <name val="Arial"/>
      <family val="2"/>
    </font>
    <font>
      <sz val="10"/>
      <color indexed="20"/>
      <name val="Arial"/>
      <family val="2"/>
    </font>
    <font>
      <b/>
      <sz val="10"/>
      <color indexed="47"/>
      <name val="Arial"/>
      <family val="2"/>
    </font>
    <font>
      <sz val="12"/>
      <color indexed="54"/>
      <name val="Arial"/>
      <family val="2"/>
    </font>
    <font>
      <sz val="10"/>
      <color indexed="54"/>
      <name val="Arial"/>
      <family val="2"/>
    </font>
    <font>
      <b/>
      <sz val="10"/>
      <color indexed="54"/>
      <name val="Arial"/>
      <family val="2"/>
    </font>
    <font>
      <b/>
      <sz val="22"/>
      <color indexed="18"/>
      <name val="Arial"/>
      <family val="2"/>
    </font>
    <font>
      <sz val="18"/>
      <color indexed="18"/>
      <name val="Arial"/>
      <family val="2"/>
    </font>
    <font>
      <b/>
      <sz val="24"/>
      <color indexed="9"/>
      <name val="Calibri"/>
      <family val="2"/>
    </font>
    <font>
      <b/>
      <sz val="11"/>
      <name val="Arial"/>
      <family val="2"/>
    </font>
    <font>
      <b/>
      <sz val="11"/>
      <name val="Calibri"/>
      <family val="2"/>
    </font>
    <font>
      <sz val="7"/>
      <name val="Verdana"/>
      <family val="2"/>
    </font>
    <font>
      <sz val="7"/>
      <name val="Calibri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thick">
        <color indexed="12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28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/>
    <xf numFmtId="3" fontId="2" fillId="0" borderId="0" xfId="0" applyNumberFormat="1" applyFont="1" applyFill="1" applyBorder="1" applyAlignment="1"/>
    <xf numFmtId="3" fontId="2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 textRotation="60" wrapText="1"/>
    </xf>
    <xf numFmtId="3" fontId="2" fillId="0" borderId="0" xfId="0" applyNumberFormat="1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3" fontId="2" fillId="0" borderId="0" xfId="0" applyNumberFormat="1" applyFont="1" applyFill="1" applyBorder="1" applyAlignment="1">
      <alignment horizontal="center" wrapText="1"/>
    </xf>
    <xf numFmtId="0" fontId="5" fillId="0" borderId="0" xfId="0" applyFont="1" applyFill="1" applyBorder="1"/>
    <xf numFmtId="0" fontId="2" fillId="0" borderId="0" xfId="0" applyFont="1" applyFill="1" applyBorder="1" applyAlignment="1">
      <alignment horizontal="center"/>
    </xf>
    <xf numFmtId="3" fontId="2" fillId="0" borderId="0" xfId="0" applyNumberFormat="1" applyFont="1" applyFill="1" applyBorder="1" applyAlignment="1">
      <alignment vertical="center" wrapText="1"/>
    </xf>
    <xf numFmtId="3" fontId="2" fillId="0" borderId="0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vertical="center" wrapText="1" indent="2"/>
    </xf>
    <xf numFmtId="0" fontId="8" fillId="0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 wrapText="1"/>
    </xf>
    <xf numFmtId="3" fontId="2" fillId="3" borderId="0" xfId="0" applyNumberFormat="1" applyFont="1" applyFill="1" applyBorder="1" applyAlignment="1">
      <alignment wrapText="1"/>
    </xf>
    <xf numFmtId="3" fontId="2" fillId="3" borderId="0" xfId="0" applyNumberFormat="1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left" vertical="center" wrapText="1" indent="1"/>
    </xf>
    <xf numFmtId="165" fontId="11" fillId="4" borderId="0" xfId="0" applyNumberFormat="1" applyFont="1" applyFill="1" applyBorder="1" applyAlignment="1" applyProtection="1">
      <alignment horizontal="center" vertical="center" wrapText="1"/>
    </xf>
    <xf numFmtId="0" fontId="5" fillId="3" borderId="0" xfId="0" applyFont="1" applyFill="1" applyBorder="1" applyAlignment="1">
      <alignment horizontal="left" vertical="center" wrapText="1" indent="1"/>
    </xf>
    <xf numFmtId="164" fontId="2" fillId="3" borderId="0" xfId="0" applyNumberFormat="1" applyFont="1" applyFill="1" applyBorder="1" applyAlignment="1">
      <alignment vertical="center" wrapText="1"/>
    </xf>
    <xf numFmtId="165" fontId="2" fillId="3" borderId="0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>
      <alignment wrapText="1"/>
    </xf>
    <xf numFmtId="3" fontId="2" fillId="4" borderId="0" xfId="0" applyNumberFormat="1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left" vertical="center" wrapText="1" indent="2"/>
    </xf>
    <xf numFmtId="164" fontId="2" fillId="4" borderId="0" xfId="0" applyNumberFormat="1" applyFont="1" applyFill="1" applyBorder="1" applyAlignment="1">
      <alignment vertical="center" wrapText="1"/>
    </xf>
    <xf numFmtId="165" fontId="2" fillId="4" borderId="0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 indent="2"/>
    </xf>
    <xf numFmtId="164" fontId="2" fillId="0" borderId="1" xfId="0" applyNumberFormat="1" applyFont="1" applyFill="1" applyBorder="1" applyAlignment="1">
      <alignment vertical="center" wrapText="1"/>
    </xf>
    <xf numFmtId="0" fontId="9" fillId="2" borderId="0" xfId="0" applyFont="1" applyFill="1" applyBorder="1" applyAlignment="1">
      <alignment vertical="center" wrapText="1"/>
    </xf>
    <xf numFmtId="164" fontId="9" fillId="2" borderId="0" xfId="0" applyNumberFormat="1" applyFont="1" applyFill="1" applyBorder="1" applyAlignment="1">
      <alignment vertical="center" wrapText="1"/>
    </xf>
    <xf numFmtId="165" fontId="9" fillId="2" borderId="0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vertical="center" wrapText="1"/>
    </xf>
    <xf numFmtId="0" fontId="6" fillId="4" borderId="0" xfId="0" applyFont="1" applyFill="1" applyBorder="1" applyAlignment="1">
      <alignment horizontal="left" vertical="center" indent="2"/>
    </xf>
    <xf numFmtId="0" fontId="7" fillId="4" borderId="0" xfId="0" applyFont="1" applyFill="1" applyBorder="1" applyAlignment="1">
      <alignment horizontal="left" vertical="center" wrapText="1" indent="2"/>
    </xf>
    <xf numFmtId="0" fontId="6" fillId="4" borderId="0" xfId="0" applyFont="1" applyFill="1" applyBorder="1" applyAlignment="1">
      <alignment horizontal="left" vertical="center" indent="1"/>
    </xf>
    <xf numFmtId="164" fontId="5" fillId="3" borderId="0" xfId="0" applyNumberFormat="1" applyFont="1" applyFill="1" applyBorder="1" applyAlignment="1">
      <alignment vertical="center" wrapText="1"/>
    </xf>
    <xf numFmtId="3" fontId="9" fillId="2" borderId="0" xfId="0" applyNumberFormat="1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left" vertical="center" wrapText="1" indent="1"/>
    </xf>
    <xf numFmtId="3" fontId="13" fillId="6" borderId="2" xfId="0" applyNumberFormat="1" applyFont="1" applyFill="1" applyBorder="1" applyAlignment="1">
      <alignment vertical="center" wrapText="1"/>
    </xf>
    <xf numFmtId="0" fontId="13" fillId="6" borderId="2" xfId="0" applyFont="1" applyFill="1" applyBorder="1" applyAlignment="1">
      <alignment vertical="center" wrapText="1"/>
    </xf>
    <xf numFmtId="164" fontId="14" fillId="6" borderId="2" xfId="0" applyNumberFormat="1" applyFont="1" applyFill="1" applyBorder="1" applyAlignment="1">
      <alignment vertical="center" wrapText="1"/>
    </xf>
    <xf numFmtId="165" fontId="14" fillId="6" borderId="2" xfId="0" applyNumberFormat="1" applyFont="1" applyFill="1" applyBorder="1" applyAlignment="1">
      <alignment horizontal="center" vertical="center" wrapText="1"/>
    </xf>
    <xf numFmtId="3" fontId="14" fillId="6" borderId="2" xfId="0" applyNumberFormat="1" applyFont="1" applyFill="1" applyBorder="1" applyAlignment="1">
      <alignment vertical="center" wrapText="1"/>
    </xf>
    <xf numFmtId="0" fontId="15" fillId="6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vertical="center" wrapText="1"/>
    </xf>
    <xf numFmtId="0" fontId="17" fillId="0" borderId="0" xfId="0" applyFont="1" applyFill="1" applyBorder="1" applyAlignment="1" applyProtection="1">
      <alignment vertical="center"/>
      <protection hidden="1"/>
    </xf>
    <xf numFmtId="0" fontId="18" fillId="0" borderId="0" xfId="0" applyFont="1" applyFill="1" applyBorder="1" applyAlignment="1" applyProtection="1">
      <protection hidden="1"/>
    </xf>
    <xf numFmtId="0" fontId="0" fillId="0" borderId="0" xfId="0" applyFill="1" applyBorder="1" applyProtection="1">
      <protection hidden="1"/>
    </xf>
    <xf numFmtId="2" fontId="0" fillId="0" borderId="0" xfId="0" applyNumberFormat="1" applyFill="1" applyBorder="1" applyProtection="1">
      <protection hidden="1"/>
    </xf>
    <xf numFmtId="0" fontId="0" fillId="0" borderId="0" xfId="0" applyFill="1" applyBorder="1" applyAlignment="1" applyProtection="1">
      <protection hidden="1"/>
    </xf>
    <xf numFmtId="0" fontId="0" fillId="0" borderId="0" xfId="0" applyFill="1" applyBorder="1" applyAlignment="1" applyProtection="1">
      <alignment horizontal="right"/>
      <protection hidden="1"/>
    </xf>
    <xf numFmtId="0" fontId="4" fillId="0" borderId="0" xfId="1" applyFill="1" applyBorder="1" applyAlignment="1" applyProtection="1">
      <protection hidden="1"/>
    </xf>
    <xf numFmtId="0" fontId="0" fillId="0" borderId="0" xfId="0" applyFill="1" applyBorder="1" applyAlignment="1" applyProtection="1">
      <alignment horizontal="left"/>
      <protection hidden="1"/>
    </xf>
    <xf numFmtId="0" fontId="1" fillId="0" borderId="0" xfId="0" applyFont="1" applyFill="1" applyBorder="1" applyProtection="1">
      <protection hidden="1"/>
    </xf>
    <xf numFmtId="0" fontId="21" fillId="0" borderId="0" xfId="0" applyFont="1" applyFill="1" applyBorder="1" applyProtection="1">
      <protection hidden="1"/>
    </xf>
    <xf numFmtId="0" fontId="22" fillId="0" borderId="0" xfId="0" applyFont="1" applyFill="1" applyBorder="1" applyAlignment="1" applyProtection="1">
      <alignment horizontal="left"/>
      <protection hidden="1"/>
    </xf>
    <xf numFmtId="0" fontId="22" fillId="0" borderId="0" xfId="0" applyFont="1" applyFill="1" applyBorder="1" applyProtection="1">
      <protection hidden="1"/>
    </xf>
    <xf numFmtId="0" fontId="23" fillId="0" borderId="0" xfId="0" applyFont="1" applyFill="1" applyBorder="1" applyAlignment="1" applyProtection="1">
      <alignment horizontal="left"/>
      <protection hidden="1"/>
    </xf>
    <xf numFmtId="0" fontId="24" fillId="0" borderId="0" xfId="0" applyFont="1" applyFill="1" applyBorder="1" applyAlignment="1" applyProtection="1">
      <alignment horizontal="left"/>
      <protection hidden="1"/>
    </xf>
    <xf numFmtId="0" fontId="0" fillId="0" borderId="0" xfId="0" applyFill="1" applyBorder="1" applyAlignment="1" applyProtection="1">
      <alignment horizontal="left"/>
      <protection hidden="1"/>
    </xf>
    <xf numFmtId="0" fontId="19" fillId="6" borderId="3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left"/>
      <protection hidden="1"/>
    </xf>
    <xf numFmtId="0" fontId="0" fillId="0" borderId="0" xfId="0" applyFill="1" applyBorder="1" applyAlignment="1" applyProtection="1">
      <alignment horizontal="left" wrapText="1"/>
      <protection hidden="1"/>
    </xf>
    <xf numFmtId="0" fontId="24" fillId="0" borderId="0" xfId="0" applyFont="1" applyFill="1" applyBorder="1" applyAlignment="1" applyProtection="1">
      <alignment horizontal="left"/>
      <protection hidden="1"/>
    </xf>
    <xf numFmtId="0" fontId="16" fillId="0" borderId="0" xfId="0" applyFont="1" applyFill="1" applyBorder="1" applyAlignment="1" applyProtection="1">
      <alignment horizontal="left" vertical="center"/>
      <protection hidden="1"/>
    </xf>
    <xf numFmtId="0" fontId="0" fillId="0" borderId="0" xfId="0" applyFill="1" applyBorder="1" applyAlignment="1" applyProtection="1">
      <alignment horizontal="left" vertical="justify"/>
      <protection hidden="1"/>
    </xf>
    <xf numFmtId="0" fontId="2" fillId="0" borderId="0" xfId="0" applyFont="1" applyFill="1" applyBorder="1" applyAlignment="1" applyProtection="1">
      <alignment horizontal="right"/>
      <protection hidden="1"/>
    </xf>
    <xf numFmtId="0" fontId="5" fillId="4" borderId="4" xfId="0" applyFont="1" applyFill="1" applyBorder="1" applyAlignment="1">
      <alignment horizontal="center" vertical="center" textRotation="60" wrapText="1"/>
    </xf>
    <xf numFmtId="0" fontId="5" fillId="4" borderId="5" xfId="0" applyFont="1" applyFill="1" applyBorder="1" applyAlignment="1">
      <alignment horizontal="left" vertical="center" wrapText="1" indent="1"/>
    </xf>
    <xf numFmtId="166" fontId="11" fillId="4" borderId="5" xfId="0" applyNumberFormat="1" applyFont="1" applyFill="1" applyBorder="1" applyAlignment="1" applyProtection="1">
      <alignment horizontal="center" vertical="center" wrapText="1"/>
    </xf>
    <xf numFmtId="165" fontId="11" fillId="4" borderId="5" xfId="0" applyNumberFormat="1" applyFont="1" applyFill="1" applyBorder="1" applyAlignment="1" applyProtection="1">
      <alignment horizontal="center" vertical="center" wrapText="1"/>
    </xf>
    <xf numFmtId="165" fontId="11" fillId="4" borderId="6" xfId="0" applyNumberFormat="1" applyFont="1" applyFill="1" applyBorder="1" applyAlignment="1" applyProtection="1">
      <alignment horizontal="center" vertical="center" wrapText="1"/>
    </xf>
    <xf numFmtId="3" fontId="2" fillId="3" borderId="7" xfId="0" applyNumberFormat="1" applyFont="1" applyFill="1" applyBorder="1" applyAlignment="1">
      <alignment wrapText="1"/>
    </xf>
    <xf numFmtId="0" fontId="5" fillId="3" borderId="8" xfId="0" applyFont="1" applyFill="1" applyBorder="1" applyAlignment="1">
      <alignment horizontal="left" vertical="center" indent="1"/>
    </xf>
    <xf numFmtId="3" fontId="2" fillId="3" borderId="8" xfId="0" applyNumberFormat="1" applyFont="1" applyFill="1" applyBorder="1" applyAlignment="1">
      <alignment vertical="center" wrapText="1"/>
    </xf>
    <xf numFmtId="3" fontId="2" fillId="3" borderId="8" xfId="0" applyNumberFormat="1" applyFont="1" applyFill="1" applyBorder="1" applyAlignment="1">
      <alignment horizontal="center" vertical="center" wrapText="1"/>
    </xf>
    <xf numFmtId="3" fontId="2" fillId="3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horizontal="left" vertical="center" indent="1"/>
    </xf>
    <xf numFmtId="3" fontId="2" fillId="4" borderId="8" xfId="0" applyNumberFormat="1" applyFont="1" applyFill="1" applyBorder="1" applyAlignment="1">
      <alignment vertical="center" wrapText="1"/>
    </xf>
    <xf numFmtId="3" fontId="2" fillId="4" borderId="8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 indent="2"/>
    </xf>
    <xf numFmtId="0" fontId="2" fillId="4" borderId="8" xfId="0" applyFont="1" applyFill="1" applyBorder="1" applyAlignment="1">
      <alignment horizontal="left" vertical="center" wrapText="1" indent="2"/>
    </xf>
    <xf numFmtId="164" fontId="2" fillId="0" borderId="8" xfId="0" applyNumberFormat="1" applyFont="1" applyFill="1" applyBorder="1" applyAlignment="1">
      <alignment vertical="center" wrapText="1"/>
    </xf>
    <xf numFmtId="165" fontId="2" fillId="4" borderId="8" xfId="0" applyNumberFormat="1" applyFont="1" applyFill="1" applyBorder="1" applyAlignment="1">
      <alignment horizontal="center" vertical="center" wrapText="1"/>
    </xf>
    <xf numFmtId="164" fontId="2" fillId="4" borderId="8" xfId="0" applyNumberFormat="1" applyFont="1" applyFill="1" applyBorder="1" applyAlignment="1">
      <alignment vertical="center" wrapText="1"/>
    </xf>
    <xf numFmtId="165" fontId="2" fillId="4" borderId="9" xfId="0" applyNumberFormat="1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left" vertical="center" wrapText="1" indent="1"/>
    </xf>
    <xf numFmtId="164" fontId="2" fillId="3" borderId="8" xfId="0" applyNumberFormat="1" applyFont="1" applyFill="1" applyBorder="1" applyAlignment="1">
      <alignment vertical="center" wrapText="1"/>
    </xf>
    <xf numFmtId="165" fontId="2" fillId="3" borderId="8" xfId="0" applyNumberFormat="1" applyFont="1" applyFill="1" applyBorder="1" applyAlignment="1">
      <alignment horizontal="center" vertical="center" wrapText="1"/>
    </xf>
    <xf numFmtId="165" fontId="2" fillId="3" borderId="9" xfId="0" applyNumberFormat="1" applyFont="1" applyFill="1" applyBorder="1" applyAlignment="1">
      <alignment horizontal="center" vertical="center" wrapText="1"/>
    </xf>
    <xf numFmtId="3" fontId="2" fillId="0" borderId="7" xfId="0" applyNumberFormat="1" applyFont="1" applyFill="1" applyBorder="1" applyAlignment="1">
      <alignment wrapText="1"/>
    </xf>
    <xf numFmtId="3" fontId="2" fillId="0" borderId="8" xfId="0" applyNumberFormat="1" applyFont="1" applyFill="1" applyBorder="1" applyAlignment="1">
      <alignment horizontal="center" vertical="center" wrapText="1"/>
    </xf>
    <xf numFmtId="3" fontId="2" fillId="0" borderId="9" xfId="0" applyNumberFormat="1" applyFont="1" applyFill="1" applyBorder="1" applyAlignment="1">
      <alignment horizontal="center" vertical="center" wrapText="1"/>
    </xf>
    <xf numFmtId="3" fontId="9" fillId="5" borderId="7" xfId="0" applyNumberFormat="1" applyFont="1" applyFill="1" applyBorder="1" applyAlignment="1">
      <alignment wrapText="1"/>
    </xf>
    <xf numFmtId="0" fontId="12" fillId="5" borderId="8" xfId="0" applyFont="1" applyFill="1" applyBorder="1" applyAlignment="1">
      <alignment horizontal="left" vertical="center" wrapText="1" indent="1"/>
    </xf>
    <xf numFmtId="164" fontId="9" fillId="5" borderId="8" xfId="0" applyNumberFormat="1" applyFont="1" applyFill="1" applyBorder="1" applyAlignment="1">
      <alignment vertical="center" wrapText="1"/>
    </xf>
    <xf numFmtId="165" fontId="9" fillId="5" borderId="8" xfId="0" applyNumberFormat="1" applyFont="1" applyFill="1" applyBorder="1" applyAlignment="1">
      <alignment horizontal="center" vertical="center" wrapText="1"/>
    </xf>
    <xf numFmtId="165" fontId="9" fillId="5" borderId="9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 indent="1"/>
    </xf>
    <xf numFmtId="3" fontId="13" fillId="6" borderId="7" xfId="0" applyNumberFormat="1" applyFont="1" applyFill="1" applyBorder="1" applyAlignment="1">
      <alignment vertical="center" wrapText="1"/>
    </xf>
    <xf numFmtId="0" fontId="13" fillId="6" borderId="8" xfId="0" applyFont="1" applyFill="1" applyBorder="1" applyAlignment="1">
      <alignment vertical="center" wrapText="1"/>
    </xf>
    <xf numFmtId="164" fontId="14" fillId="6" borderId="8" xfId="0" applyNumberFormat="1" applyFont="1" applyFill="1" applyBorder="1" applyAlignment="1">
      <alignment vertical="center" wrapText="1"/>
    </xf>
    <xf numFmtId="165" fontId="14" fillId="6" borderId="8" xfId="0" applyNumberFormat="1" applyFont="1" applyFill="1" applyBorder="1" applyAlignment="1">
      <alignment horizontal="center" vertical="center" wrapText="1"/>
    </xf>
    <xf numFmtId="165" fontId="14" fillId="6" borderId="9" xfId="0" applyNumberFormat="1" applyFont="1" applyFill="1" applyBorder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164" fontId="10" fillId="2" borderId="8" xfId="0" applyNumberFormat="1" applyFont="1" applyFill="1" applyBorder="1" applyAlignment="1">
      <alignment horizontal="left" vertical="center" wrapText="1"/>
    </xf>
    <xf numFmtId="3" fontId="10" fillId="2" borderId="8" xfId="0" applyNumberFormat="1" applyFont="1" applyFill="1" applyBorder="1" applyAlignment="1">
      <alignment horizontal="left" vertical="center" wrapText="1"/>
    </xf>
    <xf numFmtId="3" fontId="10" fillId="2" borderId="9" xfId="0" applyNumberFormat="1" applyFont="1" applyFill="1" applyBorder="1" applyAlignment="1">
      <alignment horizontal="left" vertical="center" wrapText="1"/>
    </xf>
    <xf numFmtId="3" fontId="2" fillId="3" borderId="10" xfId="0" applyNumberFormat="1" applyFont="1" applyFill="1" applyBorder="1" applyAlignment="1">
      <alignment wrapText="1"/>
    </xf>
    <xf numFmtId="0" fontId="5" fillId="3" borderId="11" xfId="0" applyFont="1" applyFill="1" applyBorder="1" applyAlignment="1">
      <alignment horizontal="left" vertical="center" indent="1"/>
    </xf>
    <xf numFmtId="164" fontId="2" fillId="3" borderId="11" xfId="0" applyNumberFormat="1" applyFont="1" applyFill="1" applyBorder="1" applyAlignment="1">
      <alignment vertical="center" wrapText="1"/>
    </xf>
    <xf numFmtId="3" fontId="2" fillId="3" borderId="11" xfId="0" applyNumberFormat="1" applyFont="1" applyFill="1" applyBorder="1" applyAlignment="1">
      <alignment horizontal="center" vertical="center" wrapText="1"/>
    </xf>
    <xf numFmtId="3" fontId="2" fillId="3" borderId="12" xfId="0" applyNumberFormat="1" applyFont="1" applyFill="1" applyBorder="1" applyAlignment="1">
      <alignment horizontal="center" vertical="center" wrapText="1"/>
    </xf>
    <xf numFmtId="0" fontId="26" fillId="0" borderId="0" xfId="0" applyFont="1" applyFill="1" applyBorder="1"/>
    <xf numFmtId="0" fontId="8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C00"/>
      <rgbColor rgb="00F2F2F2"/>
      <rgbColor rgb="00F26B61"/>
      <rgbColor rgb="00A0CC41"/>
      <rgbColor rgb="00376092"/>
      <rgbColor rgb="00FFF3B9"/>
      <rgbColor rgb="00FFA099"/>
      <rgbColor rgb="00ACD8F1"/>
      <rgbColor rgb="00D9372B"/>
      <rgbColor rgb="006E9912"/>
      <rgbColor rgb="00244062"/>
      <rgbColor rgb="00FFE14F"/>
      <rgbColor rgb="00404040"/>
      <rgbColor rgb="0059B1E2"/>
      <rgbColor rgb="00D9D9D9"/>
      <rgbColor rgb="00A6A6A6"/>
      <rgbColor rgb="00309DDB"/>
      <rgbColor rgb="00B3DB84"/>
      <rgbColor rgb="00DB8E84"/>
      <rgbColor rgb="0099779D"/>
      <rgbColor rgb="00FFE14F"/>
      <rgbColor rgb="00D9C293"/>
      <rgbColor rgb="00004269"/>
      <rgbColor rgb="00597A7B"/>
      <rgbColor rgb="00004269"/>
      <rgbColor rgb="00587F03"/>
      <rgbColor rgb="00B3122D"/>
      <rgbColor rgb="0057445A"/>
      <rgbColor rgb="00EFA143"/>
      <rgbColor rgb="006D4129"/>
      <rgbColor rgb="00309DDB"/>
      <rgbColor rgb="00DDDDDD"/>
      <rgbColor rgb="00B8CCE4"/>
      <rgbColor rgb="00D6EBF8"/>
      <rgbColor rgb="00BBE560"/>
      <rgbColor rgb="00FFF9DC"/>
      <rgbColor rgb="00DCE6F1"/>
      <rgbColor rgb="00FFCFCC"/>
      <rgbColor rgb="00808080"/>
      <rgbColor rgb="00FFFFFF"/>
      <rgbColor rgb="0095B3D7"/>
      <rgbColor rgb="0083C4E9"/>
      <rgbColor rgb="00FFE772"/>
      <rgbColor rgb="00F0B873"/>
      <rgbColor rgb="00F0AD5B"/>
      <rgbColor rgb="00EFA143"/>
      <rgbColor rgb="00262626"/>
      <rgbColor rgb="00BFBFBF"/>
      <rgbColor rgb="00309DDB"/>
      <rgbColor rgb="0086B327"/>
      <rgbColor rgb="00587F03"/>
      <rgbColor rgb="006D4129"/>
      <rgbColor rgb="00000000"/>
      <rgbColor rgb="00595959"/>
      <rgbColor rgb="000D0D0D"/>
      <rgbColor rgb="00808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0</xdr:row>
      <xdr:rowOff>28575</xdr:rowOff>
    </xdr:from>
    <xdr:to>
      <xdr:col>8</xdr:col>
      <xdr:colOff>2343150</xdr:colOff>
      <xdr:row>1</xdr:row>
      <xdr:rowOff>114300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28575"/>
          <a:ext cx="2019300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323850</xdr:colOff>
      <xdr:row>0</xdr:row>
      <xdr:rowOff>28575</xdr:rowOff>
    </xdr:from>
    <xdr:to>
      <xdr:col>8</xdr:col>
      <xdr:colOff>2343150</xdr:colOff>
      <xdr:row>1</xdr:row>
      <xdr:rowOff>114300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28575"/>
          <a:ext cx="2019300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101"/>
  <sheetViews>
    <sheetView showGridLines="0" tabSelected="1" workbookViewId="0">
      <selection activeCell="I1" sqref="I1"/>
    </sheetView>
  </sheetViews>
  <sheetFormatPr defaultColWidth="9.109375" defaultRowHeight="18" customHeight="1" x14ac:dyDescent="0.25"/>
  <cols>
    <col min="1" max="1" width="1.6640625" style="3" customWidth="1"/>
    <col min="2" max="2" width="49.109375" style="2" customWidth="1"/>
    <col min="3" max="3" width="1.6640625" style="2" customWidth="1"/>
    <col min="4" max="4" width="10.6640625" style="3" customWidth="1"/>
    <col min="5" max="21" width="9.6640625" style="4" customWidth="1"/>
    <col min="22" max="22" width="10.6640625" style="3" customWidth="1"/>
    <col min="23" max="23" width="9.6640625" style="4" customWidth="1"/>
    <col min="24" max="24" width="10.6640625" style="3" customWidth="1"/>
    <col min="25" max="25" width="9.6640625" style="4" customWidth="1"/>
    <col min="26" max="26" width="10.6640625" style="3" customWidth="1"/>
    <col min="27" max="27" width="9.6640625" style="4" customWidth="1"/>
    <col min="28" max="28" width="10.6640625" style="3" customWidth="1"/>
    <col min="29" max="29" width="9.6640625" style="4" customWidth="1"/>
    <col min="30" max="16384" width="9.109375" style="3"/>
  </cols>
  <sheetData>
    <row r="1" spans="1:29" s="1" customFormat="1" ht="35.1" customHeight="1" x14ac:dyDescent="0.25">
      <c r="A1" s="18" t="s">
        <v>60</v>
      </c>
      <c r="B1" s="18"/>
      <c r="C1" s="18"/>
      <c r="D1" s="126" t="s">
        <v>120</v>
      </c>
      <c r="E1" s="127"/>
      <c r="F1" s="126">
        <v>2020</v>
      </c>
      <c r="G1" s="127"/>
      <c r="H1" s="127"/>
      <c r="I1" s="14"/>
      <c r="J1" s="14"/>
      <c r="K1" s="14"/>
      <c r="L1" s="14"/>
      <c r="M1" s="14"/>
      <c r="N1" s="14"/>
      <c r="O1" s="14"/>
      <c r="P1" s="23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29" s="1" customFormat="1" ht="18" customHeight="1" x14ac:dyDescent="0.4">
      <c r="B2" s="125" t="s">
        <v>119</v>
      </c>
      <c r="C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W2" s="10"/>
      <c r="Y2" s="10"/>
      <c r="AA2" s="10"/>
      <c r="AC2" s="10"/>
    </row>
    <row r="3" spans="1:29" s="39" customFormat="1" ht="20.100000000000001" customHeight="1" thickBot="1" x14ac:dyDescent="0.3">
      <c r="A3" s="37"/>
      <c r="B3" s="19" t="s">
        <v>31</v>
      </c>
      <c r="C3" s="19"/>
      <c r="D3" s="37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7"/>
      <c r="W3" s="38"/>
      <c r="X3" s="37"/>
      <c r="Y3" s="38"/>
      <c r="Z3" s="37"/>
      <c r="AA3" s="38"/>
      <c r="AB3" s="37"/>
      <c r="AC3" s="38"/>
    </row>
    <row r="4" spans="1:29" s="5" customFormat="1" ht="36" customHeight="1" x14ac:dyDescent="0.25">
      <c r="A4" s="76"/>
      <c r="B4" s="77"/>
      <c r="C4" s="77"/>
      <c r="D4" s="78" t="s">
        <v>107</v>
      </c>
      <c r="E4" s="79" t="str">
        <f>D4&amp;" as % of Sales"</f>
        <v>JAN as % of Sales</v>
      </c>
      <c r="F4" s="79" t="s">
        <v>108</v>
      </c>
      <c r="G4" s="79" t="str">
        <f>F4&amp;" as % of Sales"</f>
        <v>FEB as % of Sales</v>
      </c>
      <c r="H4" s="79" t="s">
        <v>109</v>
      </c>
      <c r="I4" s="79" t="str">
        <f>H4&amp;" as % of Sales"</f>
        <v>MAR as % of Sales</v>
      </c>
      <c r="J4" s="79" t="s">
        <v>110</v>
      </c>
      <c r="K4" s="79" t="str">
        <f>J4&amp;" as % of Sales"</f>
        <v>APR as % of Sales</v>
      </c>
      <c r="L4" s="79" t="s">
        <v>111</v>
      </c>
      <c r="M4" s="79" t="str">
        <f>L4&amp;" as % of Sales"</f>
        <v>MAY as % of Sales</v>
      </c>
      <c r="N4" s="79" t="s">
        <v>112</v>
      </c>
      <c r="O4" s="79" t="str">
        <f>N4&amp;" as % of Sales"</f>
        <v>JUN as % of Sales</v>
      </c>
      <c r="P4" s="79" t="s">
        <v>113</v>
      </c>
      <c r="Q4" s="79" t="str">
        <f>P4&amp;" as % of Sales"</f>
        <v>JUL as % of Sales</v>
      </c>
      <c r="R4" s="79" t="s">
        <v>114</v>
      </c>
      <c r="S4" s="79" t="str">
        <f>R4&amp;" as % of Sales"</f>
        <v>AUG as % of Sales</v>
      </c>
      <c r="T4" s="79" t="s">
        <v>115</v>
      </c>
      <c r="U4" s="79" t="str">
        <f>T4&amp;" as % of Sales"</f>
        <v>SEP as % of Sales</v>
      </c>
      <c r="V4" s="78" t="s">
        <v>116</v>
      </c>
      <c r="W4" s="79" t="str">
        <f>V4&amp;" as % of Sales"</f>
        <v>OCT as % of Sales</v>
      </c>
      <c r="X4" s="78" t="s">
        <v>117</v>
      </c>
      <c r="Y4" s="79" t="str">
        <f>X4&amp;" as % of Sales"</f>
        <v>NOV as % of Sales</v>
      </c>
      <c r="Z4" s="78" t="s">
        <v>118</v>
      </c>
      <c r="AA4" s="79" t="str">
        <f>Z4&amp;" as % of Sales"</f>
        <v>DEC as % of Sales</v>
      </c>
      <c r="AB4" s="78" t="s">
        <v>59</v>
      </c>
      <c r="AC4" s="80" t="str">
        <f>AB4&amp;" as % of Sales"</f>
        <v>Year as % of Sales</v>
      </c>
    </row>
    <row r="5" spans="1:29" s="6" customFormat="1" ht="18" customHeight="1" x14ac:dyDescent="0.25">
      <c r="A5" s="81"/>
      <c r="B5" s="82" t="s">
        <v>0</v>
      </c>
      <c r="C5" s="82"/>
      <c r="D5" s="83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3"/>
      <c r="W5" s="84"/>
      <c r="X5" s="83"/>
      <c r="Y5" s="84"/>
      <c r="Z5" s="83"/>
      <c r="AA5" s="84"/>
      <c r="AB5" s="83"/>
      <c r="AC5" s="85"/>
    </row>
    <row r="6" spans="1:29" s="6" customFormat="1" ht="6.9" customHeight="1" x14ac:dyDescent="0.25">
      <c r="A6" s="86"/>
      <c r="B6" s="87"/>
      <c r="C6" s="87"/>
      <c r="D6" s="88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8"/>
      <c r="W6" s="89"/>
      <c r="X6" s="88"/>
      <c r="Y6" s="89"/>
      <c r="Z6" s="88"/>
      <c r="AA6" s="89"/>
      <c r="AB6" s="88"/>
      <c r="AC6" s="90"/>
    </row>
    <row r="7" spans="1:29" s="6" customFormat="1" ht="18" customHeight="1" x14ac:dyDescent="0.25">
      <c r="A7" s="86"/>
      <c r="B7" s="91" t="s">
        <v>1</v>
      </c>
      <c r="C7" s="92"/>
      <c r="D7" s="93">
        <v>90</v>
      </c>
      <c r="E7" s="94">
        <f>IF(OR(D7=0,$D$12=0),"-",D7/$D$12)</f>
        <v>0.52941176470588236</v>
      </c>
      <c r="F7" s="93">
        <v>90</v>
      </c>
      <c r="G7" s="94">
        <f>IF(OR(F7=0,$D$12=0),"-",F7/$D$12)</f>
        <v>0.52941176470588236</v>
      </c>
      <c r="H7" s="93">
        <v>90</v>
      </c>
      <c r="I7" s="94">
        <f>IF(OR(H7=0,$D$12=0),"-",H7/$D$12)</f>
        <v>0.52941176470588236</v>
      </c>
      <c r="J7" s="93">
        <v>90</v>
      </c>
      <c r="K7" s="94">
        <f>IF(OR(J7=0,$D$12=0),"-",J7/$D$12)</f>
        <v>0.52941176470588236</v>
      </c>
      <c r="L7" s="93">
        <v>90</v>
      </c>
      <c r="M7" s="94">
        <f>IF(OR(L7=0,$D$12=0),"-",L7/$D$12)</f>
        <v>0.52941176470588236</v>
      </c>
      <c r="N7" s="93">
        <v>90</v>
      </c>
      <c r="O7" s="94">
        <f>IF(OR(N7=0,$D$12=0),"-",N7/$D$12)</f>
        <v>0.52941176470588236</v>
      </c>
      <c r="P7" s="93">
        <v>90</v>
      </c>
      <c r="Q7" s="94">
        <f>IF(OR(P7=0,$D$12=0),"-",P7/$D$12)</f>
        <v>0.52941176470588236</v>
      </c>
      <c r="R7" s="93">
        <v>90</v>
      </c>
      <c r="S7" s="94">
        <f>IF(OR(R7=0,$D$12=0),"-",R7/$D$12)</f>
        <v>0.52941176470588236</v>
      </c>
      <c r="T7" s="93">
        <v>90</v>
      </c>
      <c r="U7" s="94">
        <f>IF(OR(T7=0,$D$12=0),"-",T7/$D$12)</f>
        <v>0.52941176470588236</v>
      </c>
      <c r="V7" s="93">
        <v>90</v>
      </c>
      <c r="W7" s="94">
        <f>IF(OR(V7=0,$D$12=0),"-",V7/$D$12)</f>
        <v>0.52941176470588236</v>
      </c>
      <c r="X7" s="93">
        <v>90</v>
      </c>
      <c r="Y7" s="94">
        <f>IF(OR(X7=0,$D$12=0),"-",X7/$D$12)</f>
        <v>0.52941176470588236</v>
      </c>
      <c r="Z7" s="93">
        <v>90</v>
      </c>
      <c r="AA7" s="94">
        <f>IF(OR(Z7=0,$D$12=0),"-",Z7/$D$12)</f>
        <v>0.52941176470588236</v>
      </c>
      <c r="AB7" s="95">
        <f>SUM(D7,V7,X7,Z7)</f>
        <v>360</v>
      </c>
      <c r="AC7" s="96">
        <f>IF(OR(AB7=0,$AB$12=0),"-",AB7/$AB$12)</f>
        <v>0.52941176470588236</v>
      </c>
    </row>
    <row r="8" spans="1:29" s="6" customFormat="1" ht="18" customHeight="1" x14ac:dyDescent="0.25">
      <c r="A8" s="86"/>
      <c r="B8" s="91" t="s">
        <v>2</v>
      </c>
      <c r="C8" s="92"/>
      <c r="D8" s="93">
        <v>80</v>
      </c>
      <c r="E8" s="94">
        <f>IF(OR(D8=0,$D$12=0),"-",D8/$D$12)</f>
        <v>0.47058823529411764</v>
      </c>
      <c r="F8" s="93">
        <v>80</v>
      </c>
      <c r="G8" s="94">
        <f>IF(OR(F8=0,$D$12=0),"-",F8/$D$12)</f>
        <v>0.47058823529411764</v>
      </c>
      <c r="H8" s="93">
        <v>80</v>
      </c>
      <c r="I8" s="94">
        <f>IF(OR(H8=0,$D$12=0),"-",H8/$D$12)</f>
        <v>0.47058823529411764</v>
      </c>
      <c r="J8" s="93">
        <v>80</v>
      </c>
      <c r="K8" s="94">
        <f>IF(OR(J8=0,$D$12=0),"-",J8/$D$12)</f>
        <v>0.47058823529411764</v>
      </c>
      <c r="L8" s="93">
        <v>80</v>
      </c>
      <c r="M8" s="94">
        <f>IF(OR(L8=0,$D$12=0),"-",L8/$D$12)</f>
        <v>0.47058823529411764</v>
      </c>
      <c r="N8" s="93">
        <v>80</v>
      </c>
      <c r="O8" s="94">
        <f>IF(OR(N8=0,$D$12=0),"-",N8/$D$12)</f>
        <v>0.47058823529411764</v>
      </c>
      <c r="P8" s="93">
        <v>80</v>
      </c>
      <c r="Q8" s="94">
        <f>IF(OR(P8=0,$D$12=0),"-",P8/$D$12)</f>
        <v>0.47058823529411764</v>
      </c>
      <c r="R8" s="93">
        <v>80</v>
      </c>
      <c r="S8" s="94">
        <f>IF(OR(R8=0,$D$12=0),"-",R8/$D$12)</f>
        <v>0.47058823529411764</v>
      </c>
      <c r="T8" s="93">
        <v>80</v>
      </c>
      <c r="U8" s="94">
        <f>IF(OR(T8=0,$D$12=0),"-",T8/$D$12)</f>
        <v>0.47058823529411764</v>
      </c>
      <c r="V8" s="93">
        <v>80</v>
      </c>
      <c r="W8" s="94">
        <f>IF(OR(V8=0,$D$12=0),"-",V8/$D$12)</f>
        <v>0.47058823529411764</v>
      </c>
      <c r="X8" s="93">
        <v>80</v>
      </c>
      <c r="Y8" s="94">
        <f>IF(OR(X8=0,$D$12=0),"-",X8/$D$12)</f>
        <v>0.47058823529411764</v>
      </c>
      <c r="Z8" s="93">
        <v>80</v>
      </c>
      <c r="AA8" s="94">
        <f>IF(OR(Z8=0,$D$12=0),"-",Z8/$D$12)</f>
        <v>0.47058823529411764</v>
      </c>
      <c r="AB8" s="95">
        <f>SUM(D8,V8,X8,Z8)</f>
        <v>320</v>
      </c>
      <c r="AC8" s="96">
        <f>IF(OR(AB8=0,$AB$12=0),"-",AB8/$AB$12)</f>
        <v>0.47058823529411764</v>
      </c>
    </row>
    <row r="9" spans="1:29" s="6" customFormat="1" ht="18" customHeight="1" x14ac:dyDescent="0.25">
      <c r="A9" s="86"/>
      <c r="B9" s="91" t="s">
        <v>3</v>
      </c>
      <c r="C9" s="92"/>
      <c r="D9" s="93"/>
      <c r="E9" s="94" t="str">
        <f>IF(OR(D9=0,$D$12=0),"-",D9/$D$12)</f>
        <v>-</v>
      </c>
      <c r="F9" s="93"/>
      <c r="G9" s="94" t="str">
        <f>IF(OR(F9=0,$D$12=0),"-",F9/$D$12)</f>
        <v>-</v>
      </c>
      <c r="H9" s="93"/>
      <c r="I9" s="94" t="str">
        <f>IF(OR(H9=0,$D$12=0),"-",H9/$D$12)</f>
        <v>-</v>
      </c>
      <c r="J9" s="93"/>
      <c r="K9" s="94" t="str">
        <f>IF(OR(J9=0,$D$12=0),"-",J9/$D$12)</f>
        <v>-</v>
      </c>
      <c r="L9" s="93"/>
      <c r="M9" s="94" t="str">
        <f>IF(OR(L9=0,$D$12=0),"-",L9/$D$12)</f>
        <v>-</v>
      </c>
      <c r="N9" s="93"/>
      <c r="O9" s="94" t="str">
        <f>IF(OR(N9=0,$D$12=0),"-",N9/$D$12)</f>
        <v>-</v>
      </c>
      <c r="P9" s="93"/>
      <c r="Q9" s="94" t="str">
        <f>IF(OR(P9=0,$D$12=0),"-",P9/$D$12)</f>
        <v>-</v>
      </c>
      <c r="R9" s="93"/>
      <c r="S9" s="94" t="str">
        <f>IF(OR(R9=0,$D$12=0),"-",R9/$D$12)</f>
        <v>-</v>
      </c>
      <c r="T9" s="93"/>
      <c r="U9" s="94" t="str">
        <f>IF(OR(T9=0,$D$12=0),"-",T9/$D$12)</f>
        <v>-</v>
      </c>
      <c r="V9" s="93"/>
      <c r="W9" s="94" t="str">
        <f>IF(OR(V9=0,$D$12=0),"-",V9/$D$12)</f>
        <v>-</v>
      </c>
      <c r="X9" s="93"/>
      <c r="Y9" s="94" t="str">
        <f>IF(OR(X9=0,$D$12=0),"-",X9/$D$12)</f>
        <v>-</v>
      </c>
      <c r="Z9" s="93"/>
      <c r="AA9" s="94" t="str">
        <f>IF(OR(Z9=0,$D$12=0),"-",Z9/$D$12)</f>
        <v>-</v>
      </c>
      <c r="AB9" s="95">
        <f>SUM(D9,V9,X9,Z9)</f>
        <v>0</v>
      </c>
      <c r="AC9" s="96" t="str">
        <f>IF(OR(AB9=0,$AB$12=0),"-",AB9/$AB$12)</f>
        <v>-</v>
      </c>
    </row>
    <row r="10" spans="1:29" s="6" customFormat="1" ht="18" customHeight="1" x14ac:dyDescent="0.25">
      <c r="A10" s="86"/>
      <c r="B10" s="91" t="s">
        <v>4</v>
      </c>
      <c r="C10" s="92"/>
      <c r="D10" s="93"/>
      <c r="E10" s="94" t="str">
        <f>IF(OR(D10=0,$D$12=0),"-",D10/$D$12)</f>
        <v>-</v>
      </c>
      <c r="F10" s="93"/>
      <c r="G10" s="94" t="str">
        <f>IF(OR(F10=0,$D$12=0),"-",F10/$D$12)</f>
        <v>-</v>
      </c>
      <c r="H10" s="93"/>
      <c r="I10" s="94" t="str">
        <f>IF(OR(H10=0,$D$12=0),"-",H10/$D$12)</f>
        <v>-</v>
      </c>
      <c r="J10" s="93"/>
      <c r="K10" s="94" t="str">
        <f>IF(OR(J10=0,$D$12=0),"-",J10/$D$12)</f>
        <v>-</v>
      </c>
      <c r="L10" s="93"/>
      <c r="M10" s="94" t="str">
        <f>IF(OR(L10=0,$D$12=0),"-",L10/$D$12)</f>
        <v>-</v>
      </c>
      <c r="N10" s="93"/>
      <c r="O10" s="94" t="str">
        <f>IF(OR(N10=0,$D$12=0),"-",N10/$D$12)</f>
        <v>-</v>
      </c>
      <c r="P10" s="93"/>
      <c r="Q10" s="94" t="str">
        <f>IF(OR(P10=0,$D$12=0),"-",P10/$D$12)</f>
        <v>-</v>
      </c>
      <c r="R10" s="93"/>
      <c r="S10" s="94" t="str">
        <f>IF(OR(R10=0,$D$12=0),"-",R10/$D$12)</f>
        <v>-</v>
      </c>
      <c r="T10" s="93"/>
      <c r="U10" s="94" t="str">
        <f>IF(OR(T10=0,$D$12=0),"-",T10/$D$12)</f>
        <v>-</v>
      </c>
      <c r="V10" s="93"/>
      <c r="W10" s="94" t="str">
        <f>IF(OR(V10=0,$D$12=0),"-",V10/$D$12)</f>
        <v>-</v>
      </c>
      <c r="X10" s="93"/>
      <c r="Y10" s="94" t="str">
        <f>IF(OR(X10=0,$D$12=0),"-",X10/$D$12)</f>
        <v>-</v>
      </c>
      <c r="Z10" s="93"/>
      <c r="AA10" s="94" t="str">
        <f>IF(OR(Z10=0,$D$12=0),"-",Z10/$D$12)</f>
        <v>-</v>
      </c>
      <c r="AB10" s="95">
        <f>SUM(D10,V10,X10,Z10)</f>
        <v>0</v>
      </c>
      <c r="AC10" s="96" t="str">
        <f>IF(OR(AB10=0,$AB$12=0),"-",AB10/$AB$12)</f>
        <v>-</v>
      </c>
    </row>
    <row r="11" spans="1:29" s="6" customFormat="1" ht="6.9" customHeight="1" x14ac:dyDescent="0.25">
      <c r="A11" s="86"/>
      <c r="B11" s="92"/>
      <c r="C11" s="92"/>
      <c r="D11" s="95"/>
      <c r="E11" s="94"/>
      <c r="F11" s="95"/>
      <c r="G11" s="94"/>
      <c r="H11" s="95"/>
      <c r="I11" s="94"/>
      <c r="J11" s="95"/>
      <c r="K11" s="94"/>
      <c r="L11" s="95"/>
      <c r="M11" s="94"/>
      <c r="N11" s="95"/>
      <c r="O11" s="94"/>
      <c r="P11" s="95"/>
      <c r="Q11" s="94"/>
      <c r="R11" s="95"/>
      <c r="S11" s="94"/>
      <c r="T11" s="95"/>
      <c r="U11" s="94"/>
      <c r="V11" s="95"/>
      <c r="W11" s="94"/>
      <c r="X11" s="95"/>
      <c r="Y11" s="94"/>
      <c r="Z11" s="95"/>
      <c r="AA11" s="94"/>
      <c r="AB11" s="95"/>
      <c r="AC11" s="96"/>
    </row>
    <row r="12" spans="1:29" s="6" customFormat="1" ht="18" customHeight="1" x14ac:dyDescent="0.25">
      <c r="A12" s="81"/>
      <c r="B12" s="97" t="s">
        <v>49</v>
      </c>
      <c r="C12" s="97"/>
      <c r="D12" s="98">
        <f>SUM(D7:D10)</f>
        <v>170</v>
      </c>
      <c r="E12" s="99">
        <f>IF(OR(D12=0,$D$12=0),"-",D12/$D$12)</f>
        <v>1</v>
      </c>
      <c r="F12" s="98">
        <f>SUM(F7:F10)</f>
        <v>170</v>
      </c>
      <c r="G12" s="99">
        <f>IF(OR(F12=0,$D$12=0),"-",F12/$D$12)</f>
        <v>1</v>
      </c>
      <c r="H12" s="98">
        <f>SUM(H7:H10)</f>
        <v>170</v>
      </c>
      <c r="I12" s="99">
        <f>IF(OR(H12=0,$D$12=0),"-",H12/$D$12)</f>
        <v>1</v>
      </c>
      <c r="J12" s="98">
        <f>SUM(J7:J10)</f>
        <v>170</v>
      </c>
      <c r="K12" s="99">
        <f>IF(OR(J12=0,$D$12=0),"-",J12/$D$12)</f>
        <v>1</v>
      </c>
      <c r="L12" s="98">
        <f>SUM(L7:L10)</f>
        <v>170</v>
      </c>
      <c r="M12" s="99">
        <f>IF(OR(L12=0,$D$12=0),"-",L12/$D$12)</f>
        <v>1</v>
      </c>
      <c r="N12" s="98">
        <f>SUM(N7:N10)</f>
        <v>170</v>
      </c>
      <c r="O12" s="99">
        <f>IF(OR(N12=0,$D$12=0),"-",N12/$D$12)</f>
        <v>1</v>
      </c>
      <c r="P12" s="98">
        <f>SUM(P7:P10)</f>
        <v>170</v>
      </c>
      <c r="Q12" s="99">
        <f>IF(OR(P12=0,$D$12=0),"-",P12/$D$12)</f>
        <v>1</v>
      </c>
      <c r="R12" s="98">
        <f>SUM(R7:R10)</f>
        <v>170</v>
      </c>
      <c r="S12" s="99">
        <f>IF(OR(R12=0,$D$12=0),"-",R12/$D$12)</f>
        <v>1</v>
      </c>
      <c r="T12" s="98">
        <f>SUM(T7:T10)</f>
        <v>170</v>
      </c>
      <c r="U12" s="99">
        <f>IF(OR(T12=0,$D$12=0),"-",T12/$D$12)</f>
        <v>1</v>
      </c>
      <c r="V12" s="98">
        <f>SUM(V7:V10)</f>
        <v>170</v>
      </c>
      <c r="W12" s="99">
        <f>IF(OR(V12=0,$D$12=0),"-",V12/$D$12)</f>
        <v>1</v>
      </c>
      <c r="X12" s="98">
        <f>SUM(X7:X10)</f>
        <v>170</v>
      </c>
      <c r="Y12" s="99">
        <f>IF(OR(X12=0,$D$12=0),"-",X12/$D$12)</f>
        <v>1</v>
      </c>
      <c r="Z12" s="98">
        <f>SUM(Z7:Z10)</f>
        <v>170</v>
      </c>
      <c r="AA12" s="99">
        <f>IF(OR(Z12=0,$D$12=0),"-",Z12/$D$12)</f>
        <v>1</v>
      </c>
      <c r="AB12" s="98">
        <f>SUM(AB7:AB10)</f>
        <v>680</v>
      </c>
      <c r="AC12" s="100">
        <f>IF(OR(AB12=0,$AB$12=0),"-",AB12/$AB$12)</f>
        <v>1</v>
      </c>
    </row>
    <row r="13" spans="1:29" s="6" customFormat="1" ht="18" customHeight="1" x14ac:dyDescent="0.25">
      <c r="A13" s="101"/>
      <c r="B13" s="91"/>
      <c r="C13" s="91"/>
      <c r="D13" s="93"/>
      <c r="E13" s="102"/>
      <c r="F13" s="93"/>
      <c r="G13" s="102"/>
      <c r="H13" s="93"/>
      <c r="I13" s="102"/>
      <c r="J13" s="93"/>
      <c r="K13" s="102"/>
      <c r="L13" s="93"/>
      <c r="M13" s="102"/>
      <c r="N13" s="93"/>
      <c r="O13" s="102"/>
      <c r="P13" s="93"/>
      <c r="Q13" s="102"/>
      <c r="R13" s="93"/>
      <c r="S13" s="102"/>
      <c r="T13" s="93"/>
      <c r="U13" s="102"/>
      <c r="V13" s="93"/>
      <c r="W13" s="102"/>
      <c r="X13" s="93"/>
      <c r="Y13" s="102"/>
      <c r="Z13" s="93"/>
      <c r="AA13" s="102"/>
      <c r="AB13" s="93"/>
      <c r="AC13" s="103"/>
    </row>
    <row r="14" spans="1:29" s="6" customFormat="1" ht="18" customHeight="1" x14ac:dyDescent="0.25">
      <c r="A14" s="81"/>
      <c r="B14" s="82" t="s">
        <v>5</v>
      </c>
      <c r="C14" s="82"/>
      <c r="D14" s="98"/>
      <c r="E14" s="84"/>
      <c r="F14" s="98"/>
      <c r="G14" s="84"/>
      <c r="H14" s="98"/>
      <c r="I14" s="84"/>
      <c r="J14" s="98"/>
      <c r="K14" s="84"/>
      <c r="L14" s="98"/>
      <c r="M14" s="84"/>
      <c r="N14" s="98"/>
      <c r="O14" s="84"/>
      <c r="P14" s="98"/>
      <c r="Q14" s="84"/>
      <c r="R14" s="98"/>
      <c r="S14" s="84"/>
      <c r="T14" s="98"/>
      <c r="U14" s="84"/>
      <c r="V14" s="98"/>
      <c r="W14" s="84"/>
      <c r="X14" s="98"/>
      <c r="Y14" s="84"/>
      <c r="Z14" s="98"/>
      <c r="AA14" s="84"/>
      <c r="AB14" s="98"/>
      <c r="AC14" s="85"/>
    </row>
    <row r="15" spans="1:29" s="6" customFormat="1" ht="6.9" customHeight="1" x14ac:dyDescent="0.25">
      <c r="A15" s="86"/>
      <c r="B15" s="87"/>
      <c r="C15" s="87"/>
      <c r="D15" s="95"/>
      <c r="E15" s="89"/>
      <c r="F15" s="95"/>
      <c r="G15" s="89"/>
      <c r="H15" s="95"/>
      <c r="I15" s="89"/>
      <c r="J15" s="95"/>
      <c r="K15" s="89"/>
      <c r="L15" s="95"/>
      <c r="M15" s="89"/>
      <c r="N15" s="95"/>
      <c r="O15" s="89"/>
      <c r="P15" s="95"/>
      <c r="Q15" s="89"/>
      <c r="R15" s="95"/>
      <c r="S15" s="89"/>
      <c r="T15" s="95"/>
      <c r="U15" s="89"/>
      <c r="V15" s="95"/>
      <c r="W15" s="89"/>
      <c r="X15" s="95"/>
      <c r="Y15" s="89"/>
      <c r="Z15" s="95"/>
      <c r="AA15" s="89"/>
      <c r="AB15" s="95"/>
      <c r="AC15" s="90"/>
    </row>
    <row r="16" spans="1:29" s="6" customFormat="1" ht="18" customHeight="1" x14ac:dyDescent="0.25">
      <c r="A16" s="86"/>
      <c r="B16" s="91" t="s">
        <v>1</v>
      </c>
      <c r="C16" s="92"/>
      <c r="D16" s="93">
        <v>100</v>
      </c>
      <c r="E16" s="94">
        <f>IF(OR(D16=0,$D$12=0),"-",D16/$D$12)</f>
        <v>0.58823529411764708</v>
      </c>
      <c r="F16" s="93">
        <v>100</v>
      </c>
      <c r="G16" s="94">
        <f>IF(OR(F16=0,$D$12=0),"-",F16/$D$12)</f>
        <v>0.58823529411764708</v>
      </c>
      <c r="H16" s="93">
        <v>100</v>
      </c>
      <c r="I16" s="94">
        <f>IF(OR(H16=0,$D$12=0),"-",H16/$D$12)</f>
        <v>0.58823529411764708</v>
      </c>
      <c r="J16" s="93">
        <v>100</v>
      </c>
      <c r="K16" s="94">
        <f>IF(OR(J16=0,$D$12=0),"-",J16/$D$12)</f>
        <v>0.58823529411764708</v>
      </c>
      <c r="L16" s="93">
        <v>100</v>
      </c>
      <c r="M16" s="94">
        <f>IF(OR(L16=0,$D$12=0),"-",L16/$D$12)</f>
        <v>0.58823529411764708</v>
      </c>
      <c r="N16" s="93">
        <v>100</v>
      </c>
      <c r="O16" s="94">
        <f>IF(OR(N16=0,$D$12=0),"-",N16/$D$12)</f>
        <v>0.58823529411764708</v>
      </c>
      <c r="P16" s="93">
        <v>100</v>
      </c>
      <c r="Q16" s="94">
        <f>IF(OR(P16=0,$D$12=0),"-",P16/$D$12)</f>
        <v>0.58823529411764708</v>
      </c>
      <c r="R16" s="93">
        <v>100</v>
      </c>
      <c r="S16" s="94">
        <f>IF(OR(R16=0,$D$12=0),"-",R16/$D$12)</f>
        <v>0.58823529411764708</v>
      </c>
      <c r="T16" s="93">
        <v>100</v>
      </c>
      <c r="U16" s="94">
        <f>IF(OR(T16=0,$D$12=0),"-",T16/$D$12)</f>
        <v>0.58823529411764708</v>
      </c>
      <c r="V16" s="93">
        <v>100</v>
      </c>
      <c r="W16" s="94">
        <f>IF(OR(V16=0,$D$12=0),"-",V16/$D$12)</f>
        <v>0.58823529411764708</v>
      </c>
      <c r="X16" s="93">
        <v>100</v>
      </c>
      <c r="Y16" s="94">
        <f>IF(OR(X16=0,$D$12=0),"-",X16/$D$12)</f>
        <v>0.58823529411764708</v>
      </c>
      <c r="Z16" s="93">
        <v>100</v>
      </c>
      <c r="AA16" s="94">
        <f>IF(OR(Z16=0,$D$12=0),"-",Z16/$D$12)</f>
        <v>0.58823529411764708</v>
      </c>
      <c r="AB16" s="95">
        <f>SUM(D16,V16,X16,Z16)</f>
        <v>400</v>
      </c>
      <c r="AC16" s="96">
        <f>IF(OR(AB16=0,$AB$12=0),"-",AB16/$AB$12)</f>
        <v>0.58823529411764708</v>
      </c>
    </row>
    <row r="17" spans="1:29" s="6" customFormat="1" ht="18" customHeight="1" x14ac:dyDescent="0.25">
      <c r="A17" s="86"/>
      <c r="B17" s="91" t="s">
        <v>2</v>
      </c>
      <c r="C17" s="92"/>
      <c r="D17" s="93"/>
      <c r="E17" s="94" t="str">
        <f>IF(OR(D17=0,$D$12=0),"-",D17/$D$12)</f>
        <v>-</v>
      </c>
      <c r="F17" s="93"/>
      <c r="G17" s="94" t="str">
        <f>IF(OR(F17=0,$D$12=0),"-",F17/$D$12)</f>
        <v>-</v>
      </c>
      <c r="H17" s="93"/>
      <c r="I17" s="94" t="str">
        <f>IF(OR(H17=0,$D$12=0),"-",H17/$D$12)</f>
        <v>-</v>
      </c>
      <c r="J17" s="93"/>
      <c r="K17" s="94" t="str">
        <f>IF(OR(J17=0,$D$12=0),"-",J17/$D$12)</f>
        <v>-</v>
      </c>
      <c r="L17" s="93"/>
      <c r="M17" s="94" t="str">
        <f>IF(OR(L17=0,$D$12=0),"-",L17/$D$12)</f>
        <v>-</v>
      </c>
      <c r="N17" s="93"/>
      <c r="O17" s="94" t="str">
        <f>IF(OR(N17=0,$D$12=0),"-",N17/$D$12)</f>
        <v>-</v>
      </c>
      <c r="P17" s="93"/>
      <c r="Q17" s="94" t="str">
        <f>IF(OR(P17=0,$D$12=0),"-",P17/$D$12)</f>
        <v>-</v>
      </c>
      <c r="R17" s="93"/>
      <c r="S17" s="94" t="str">
        <f>IF(OR(R17=0,$D$12=0),"-",R17/$D$12)</f>
        <v>-</v>
      </c>
      <c r="T17" s="93"/>
      <c r="U17" s="94" t="str">
        <f>IF(OR(T17=0,$D$12=0),"-",T17/$D$12)</f>
        <v>-</v>
      </c>
      <c r="V17" s="93"/>
      <c r="W17" s="94" t="str">
        <f>IF(OR(V17=0,$D$12=0),"-",V17/$D$12)</f>
        <v>-</v>
      </c>
      <c r="X17" s="93"/>
      <c r="Y17" s="94" t="str">
        <f>IF(OR(X17=0,$D$12=0),"-",X17/$D$12)</f>
        <v>-</v>
      </c>
      <c r="Z17" s="93"/>
      <c r="AA17" s="94" t="str">
        <f>IF(OR(Z17=0,$D$12=0),"-",Z17/$D$12)</f>
        <v>-</v>
      </c>
      <c r="AB17" s="95">
        <f>SUM(D17,V17,X17,Z17)</f>
        <v>0</v>
      </c>
      <c r="AC17" s="96" t="str">
        <f>IF(OR(AB17=0,$AB$12=0),"-",AB17/$AB$12)</f>
        <v>-</v>
      </c>
    </row>
    <row r="18" spans="1:29" s="6" customFormat="1" ht="18" customHeight="1" x14ac:dyDescent="0.25">
      <c r="A18" s="86"/>
      <c r="B18" s="91" t="s">
        <v>3</v>
      </c>
      <c r="C18" s="92"/>
      <c r="D18" s="93"/>
      <c r="E18" s="94" t="str">
        <f>IF(OR(D18=0,$D$12=0),"-",D18/$D$12)</f>
        <v>-</v>
      </c>
      <c r="F18" s="93"/>
      <c r="G18" s="94" t="str">
        <f>IF(OR(F18=0,$D$12=0),"-",F18/$D$12)</f>
        <v>-</v>
      </c>
      <c r="H18" s="93"/>
      <c r="I18" s="94" t="str">
        <f>IF(OR(H18=0,$D$12=0),"-",H18/$D$12)</f>
        <v>-</v>
      </c>
      <c r="J18" s="93"/>
      <c r="K18" s="94" t="str">
        <f>IF(OR(J18=0,$D$12=0),"-",J18/$D$12)</f>
        <v>-</v>
      </c>
      <c r="L18" s="93"/>
      <c r="M18" s="94" t="str">
        <f>IF(OR(L18=0,$D$12=0),"-",L18/$D$12)</f>
        <v>-</v>
      </c>
      <c r="N18" s="93"/>
      <c r="O18" s="94" t="str">
        <f>IF(OR(N18=0,$D$12=0),"-",N18/$D$12)</f>
        <v>-</v>
      </c>
      <c r="P18" s="93"/>
      <c r="Q18" s="94" t="str">
        <f>IF(OR(P18=0,$D$12=0),"-",P18/$D$12)</f>
        <v>-</v>
      </c>
      <c r="R18" s="93"/>
      <c r="S18" s="94" t="str">
        <f>IF(OR(R18=0,$D$12=0),"-",R18/$D$12)</f>
        <v>-</v>
      </c>
      <c r="T18" s="93"/>
      <c r="U18" s="94" t="str">
        <f>IF(OR(T18=0,$D$12=0),"-",T18/$D$12)</f>
        <v>-</v>
      </c>
      <c r="V18" s="93"/>
      <c r="W18" s="94" t="str">
        <f>IF(OR(V18=0,$D$12=0),"-",V18/$D$12)</f>
        <v>-</v>
      </c>
      <c r="X18" s="93"/>
      <c r="Y18" s="94" t="str">
        <f>IF(OR(X18=0,$D$12=0),"-",X18/$D$12)</f>
        <v>-</v>
      </c>
      <c r="Z18" s="93"/>
      <c r="AA18" s="94" t="str">
        <f>IF(OR(Z18=0,$D$12=0),"-",Z18/$D$12)</f>
        <v>-</v>
      </c>
      <c r="AB18" s="95">
        <f>SUM(D18,V18,X18,Z18)</f>
        <v>0</v>
      </c>
      <c r="AC18" s="96" t="str">
        <f>IF(OR(AB18=0,$AB$12=0),"-",AB18/$AB$12)</f>
        <v>-</v>
      </c>
    </row>
    <row r="19" spans="1:29" s="6" customFormat="1" ht="18" customHeight="1" x14ac:dyDescent="0.25">
      <c r="A19" s="86"/>
      <c r="B19" s="91" t="s">
        <v>4</v>
      </c>
      <c r="C19" s="92"/>
      <c r="D19" s="93"/>
      <c r="E19" s="94" t="str">
        <f>IF(OR(D19=0,$D$12=0),"-",D19/$D$12)</f>
        <v>-</v>
      </c>
      <c r="F19" s="93"/>
      <c r="G19" s="94" t="str">
        <f>IF(OR(F19=0,$D$12=0),"-",F19/$D$12)</f>
        <v>-</v>
      </c>
      <c r="H19" s="93"/>
      <c r="I19" s="94" t="str">
        <f>IF(OR(H19=0,$D$12=0),"-",H19/$D$12)</f>
        <v>-</v>
      </c>
      <c r="J19" s="93"/>
      <c r="K19" s="94" t="str">
        <f>IF(OR(J19=0,$D$12=0),"-",J19/$D$12)</f>
        <v>-</v>
      </c>
      <c r="L19" s="93"/>
      <c r="M19" s="94" t="str">
        <f>IF(OR(L19=0,$D$12=0),"-",L19/$D$12)</f>
        <v>-</v>
      </c>
      <c r="N19" s="93"/>
      <c r="O19" s="94" t="str">
        <f>IF(OR(N19=0,$D$12=0),"-",N19/$D$12)</f>
        <v>-</v>
      </c>
      <c r="P19" s="93"/>
      <c r="Q19" s="94" t="str">
        <f>IF(OR(P19=0,$D$12=0),"-",P19/$D$12)</f>
        <v>-</v>
      </c>
      <c r="R19" s="93"/>
      <c r="S19" s="94" t="str">
        <f>IF(OR(R19=0,$D$12=0),"-",R19/$D$12)</f>
        <v>-</v>
      </c>
      <c r="T19" s="93"/>
      <c r="U19" s="94" t="str">
        <f>IF(OR(T19=0,$D$12=0),"-",T19/$D$12)</f>
        <v>-</v>
      </c>
      <c r="V19" s="93"/>
      <c r="W19" s="94" t="str">
        <f>IF(OR(V19=0,$D$12=0),"-",V19/$D$12)</f>
        <v>-</v>
      </c>
      <c r="X19" s="93"/>
      <c r="Y19" s="94" t="str">
        <f>IF(OR(X19=0,$D$12=0),"-",X19/$D$12)</f>
        <v>-</v>
      </c>
      <c r="Z19" s="93"/>
      <c r="AA19" s="94" t="str">
        <f>IF(OR(Z19=0,$D$12=0),"-",Z19/$D$12)</f>
        <v>-</v>
      </c>
      <c r="AB19" s="95">
        <f>SUM(D19,V19,X19,Z19)</f>
        <v>0</v>
      </c>
      <c r="AC19" s="96" t="str">
        <f>IF(OR(AB19=0,$AB$12=0),"-",AB19/$AB$12)</f>
        <v>-</v>
      </c>
    </row>
    <row r="20" spans="1:29" s="6" customFormat="1" ht="6.9" customHeight="1" x14ac:dyDescent="0.25">
      <c r="A20" s="86"/>
      <c r="B20" s="92"/>
      <c r="C20" s="92"/>
      <c r="D20" s="95"/>
      <c r="E20" s="94"/>
      <c r="F20" s="95"/>
      <c r="G20" s="94"/>
      <c r="H20" s="95"/>
      <c r="I20" s="94"/>
      <c r="J20" s="95"/>
      <c r="K20" s="94"/>
      <c r="L20" s="95"/>
      <c r="M20" s="94"/>
      <c r="N20" s="95"/>
      <c r="O20" s="94"/>
      <c r="P20" s="95"/>
      <c r="Q20" s="94"/>
      <c r="R20" s="95"/>
      <c r="S20" s="94"/>
      <c r="T20" s="95"/>
      <c r="U20" s="94"/>
      <c r="V20" s="95"/>
      <c r="W20" s="94"/>
      <c r="X20" s="95"/>
      <c r="Y20" s="94"/>
      <c r="Z20" s="95"/>
      <c r="AA20" s="94"/>
      <c r="AB20" s="95"/>
      <c r="AC20" s="96"/>
    </row>
    <row r="21" spans="1:29" s="6" customFormat="1" ht="18" customHeight="1" x14ac:dyDescent="0.25">
      <c r="A21" s="81"/>
      <c r="B21" s="97" t="s">
        <v>48</v>
      </c>
      <c r="C21" s="97"/>
      <c r="D21" s="98">
        <f>SUM(D16:D19)</f>
        <v>100</v>
      </c>
      <c r="E21" s="99">
        <f>IF(OR(D21=0,$D$12=0),"-",D21/$D$12)</f>
        <v>0.58823529411764708</v>
      </c>
      <c r="F21" s="98">
        <f>SUM(F16:F19)</f>
        <v>100</v>
      </c>
      <c r="G21" s="99">
        <f>IF(OR(F21=0,$D$12=0),"-",F21/$D$12)</f>
        <v>0.58823529411764708</v>
      </c>
      <c r="H21" s="98">
        <f>SUM(H16:H19)</f>
        <v>100</v>
      </c>
      <c r="I21" s="99">
        <f>IF(OR(H21=0,$D$12=0),"-",H21/$D$12)</f>
        <v>0.58823529411764708</v>
      </c>
      <c r="J21" s="98">
        <f>SUM(J16:J19)</f>
        <v>100</v>
      </c>
      <c r="K21" s="99">
        <f>IF(OR(J21=0,$D$12=0),"-",J21/$D$12)</f>
        <v>0.58823529411764708</v>
      </c>
      <c r="L21" s="98">
        <f>SUM(L16:L19)</f>
        <v>100</v>
      </c>
      <c r="M21" s="99">
        <f>IF(OR(L21=0,$D$12=0),"-",L21/$D$12)</f>
        <v>0.58823529411764708</v>
      </c>
      <c r="N21" s="98">
        <f>SUM(N16:N19)</f>
        <v>100</v>
      </c>
      <c r="O21" s="99">
        <f>IF(OR(N21=0,$D$12=0),"-",N21/$D$12)</f>
        <v>0.58823529411764708</v>
      </c>
      <c r="P21" s="98">
        <f>SUM(P16:P19)</f>
        <v>100</v>
      </c>
      <c r="Q21" s="99">
        <f>IF(OR(P21=0,$D$12=0),"-",P21/$D$12)</f>
        <v>0.58823529411764708</v>
      </c>
      <c r="R21" s="98">
        <f>SUM(R16:R19)</f>
        <v>100</v>
      </c>
      <c r="S21" s="99">
        <f>IF(OR(R21=0,$D$12=0),"-",R21/$D$12)</f>
        <v>0.58823529411764708</v>
      </c>
      <c r="T21" s="98">
        <f>SUM(T16:T19)</f>
        <v>100</v>
      </c>
      <c r="U21" s="99">
        <f>IF(OR(T21=0,$D$12=0),"-",T21/$D$12)</f>
        <v>0.58823529411764708</v>
      </c>
      <c r="V21" s="98">
        <f>SUM(V16:V19)</f>
        <v>100</v>
      </c>
      <c r="W21" s="99">
        <f>IF(OR(V21=0,$D$12=0),"-",V21/$D$12)</f>
        <v>0.58823529411764708</v>
      </c>
      <c r="X21" s="98">
        <f>SUM(X16:X19)</f>
        <v>100</v>
      </c>
      <c r="Y21" s="99">
        <f>IF(OR(X21=0,$D$12=0),"-",X21/$D$12)</f>
        <v>0.58823529411764708</v>
      </c>
      <c r="Z21" s="98">
        <f>SUM(Z16:Z19)</f>
        <v>100</v>
      </c>
      <c r="AA21" s="99">
        <f>IF(OR(Z21=0,$D$12=0),"-",Z21/$D$12)</f>
        <v>0.58823529411764708</v>
      </c>
      <c r="AB21" s="98">
        <f>SUM(AB16:AB19)</f>
        <v>400</v>
      </c>
      <c r="AC21" s="100">
        <f>IF(OR(AB21=0,$AB$12=0),"-",AB21/$AB$12)</f>
        <v>0.58823529411764708</v>
      </c>
    </row>
    <row r="22" spans="1:29" s="6" customFormat="1" ht="18" customHeight="1" x14ac:dyDescent="0.25">
      <c r="A22" s="101"/>
      <c r="B22" s="91"/>
      <c r="C22" s="91"/>
      <c r="D22" s="93"/>
      <c r="E22" s="102"/>
      <c r="F22" s="93"/>
      <c r="G22" s="102"/>
      <c r="H22" s="93"/>
      <c r="I22" s="102"/>
      <c r="J22" s="93"/>
      <c r="K22" s="102"/>
      <c r="L22" s="93"/>
      <c r="M22" s="102"/>
      <c r="N22" s="93"/>
      <c r="O22" s="102"/>
      <c r="P22" s="93"/>
      <c r="Q22" s="102"/>
      <c r="R22" s="93"/>
      <c r="S22" s="102"/>
      <c r="T22" s="93"/>
      <c r="U22" s="102"/>
      <c r="V22" s="93"/>
      <c r="W22" s="102"/>
      <c r="X22" s="93"/>
      <c r="Y22" s="102"/>
      <c r="Z22" s="93"/>
      <c r="AA22" s="102"/>
      <c r="AB22" s="93"/>
      <c r="AC22" s="103"/>
    </row>
    <row r="23" spans="1:29" s="6" customFormat="1" ht="18" customHeight="1" x14ac:dyDescent="0.25">
      <c r="A23" s="104"/>
      <c r="B23" s="105" t="s">
        <v>50</v>
      </c>
      <c r="C23" s="105"/>
      <c r="D23" s="106">
        <f>D12-D21</f>
        <v>70</v>
      </c>
      <c r="E23" s="107">
        <f>IF(OR(D23=0,$D$12=0),"-",D23/$D$12)</f>
        <v>0.41176470588235292</v>
      </c>
      <c r="F23" s="106">
        <f>F12-F21</f>
        <v>70</v>
      </c>
      <c r="G23" s="107">
        <f>IF(OR(F23=0,$D$12=0),"-",F23/$D$12)</f>
        <v>0.41176470588235292</v>
      </c>
      <c r="H23" s="106">
        <f>H12-H21</f>
        <v>70</v>
      </c>
      <c r="I23" s="107">
        <f>IF(OR(H23=0,$D$12=0),"-",H23/$D$12)</f>
        <v>0.41176470588235292</v>
      </c>
      <c r="J23" s="106">
        <f>J12-J21</f>
        <v>70</v>
      </c>
      <c r="K23" s="107">
        <f>IF(OR(J23=0,$D$12=0),"-",J23/$D$12)</f>
        <v>0.41176470588235292</v>
      </c>
      <c r="L23" s="106">
        <f>L12-L21</f>
        <v>70</v>
      </c>
      <c r="M23" s="107">
        <f>IF(OR(L23=0,$D$12=0),"-",L23/$D$12)</f>
        <v>0.41176470588235292</v>
      </c>
      <c r="N23" s="106">
        <f>N12-N21</f>
        <v>70</v>
      </c>
      <c r="O23" s="107">
        <f>IF(OR(N23=0,$D$12=0),"-",N23/$D$12)</f>
        <v>0.41176470588235292</v>
      </c>
      <c r="P23" s="106">
        <f>P12-P21</f>
        <v>70</v>
      </c>
      <c r="Q23" s="107">
        <f>IF(OR(P23=0,$D$12=0),"-",P23/$D$12)</f>
        <v>0.41176470588235292</v>
      </c>
      <c r="R23" s="106">
        <f>R12-R21</f>
        <v>70</v>
      </c>
      <c r="S23" s="107">
        <f>IF(OR(R23=0,$D$12=0),"-",R23/$D$12)</f>
        <v>0.41176470588235292</v>
      </c>
      <c r="T23" s="106">
        <f>T12-T21</f>
        <v>70</v>
      </c>
      <c r="U23" s="107">
        <f>IF(OR(T23=0,$D$12=0),"-",T23/$D$12)</f>
        <v>0.41176470588235292</v>
      </c>
      <c r="V23" s="106">
        <f>V12-V21</f>
        <v>70</v>
      </c>
      <c r="W23" s="107">
        <f>IF(OR(V23=0,$D$12=0),"-",V23/$D$12)</f>
        <v>0.41176470588235292</v>
      </c>
      <c r="X23" s="106">
        <f>X12-X21</f>
        <v>70</v>
      </c>
      <c r="Y23" s="107">
        <f>IF(OR(X23=0,$D$12=0),"-",X23/$D$12)</f>
        <v>0.41176470588235292</v>
      </c>
      <c r="Z23" s="106">
        <f>Z12-Z21</f>
        <v>70</v>
      </c>
      <c r="AA23" s="107">
        <f>IF(OR(Z23=0,$D$12=0),"-",Z23/$D$12)</f>
        <v>0.41176470588235292</v>
      </c>
      <c r="AB23" s="106">
        <f>AB12-AB21</f>
        <v>280</v>
      </c>
      <c r="AC23" s="108">
        <f>IF(OR(AB23=0,$AB$12=0),"-",AB23/$AB$12)</f>
        <v>0.41176470588235292</v>
      </c>
    </row>
    <row r="24" spans="1:29" s="6" customFormat="1" ht="18" customHeight="1" x14ac:dyDescent="0.25">
      <c r="A24" s="101"/>
      <c r="B24" s="91"/>
      <c r="C24" s="91"/>
      <c r="D24" s="93"/>
      <c r="E24" s="102"/>
      <c r="F24" s="93"/>
      <c r="G24" s="102"/>
      <c r="H24" s="93"/>
      <c r="I24" s="102"/>
      <c r="J24" s="93"/>
      <c r="K24" s="102"/>
      <c r="L24" s="93"/>
      <c r="M24" s="102"/>
      <c r="N24" s="93"/>
      <c r="O24" s="102"/>
      <c r="P24" s="93"/>
      <c r="Q24" s="102"/>
      <c r="R24" s="93"/>
      <c r="S24" s="102"/>
      <c r="T24" s="93"/>
      <c r="U24" s="102"/>
      <c r="V24" s="93"/>
      <c r="W24" s="102"/>
      <c r="X24" s="93"/>
      <c r="Y24" s="102"/>
      <c r="Z24" s="93"/>
      <c r="AA24" s="102"/>
      <c r="AB24" s="93"/>
      <c r="AC24" s="103"/>
    </row>
    <row r="25" spans="1:29" s="6" customFormat="1" ht="18" customHeight="1" x14ac:dyDescent="0.25">
      <c r="A25" s="81"/>
      <c r="B25" s="82" t="s">
        <v>26</v>
      </c>
      <c r="C25" s="82"/>
      <c r="D25" s="98"/>
      <c r="E25" s="84"/>
      <c r="F25" s="98"/>
      <c r="G25" s="84"/>
      <c r="H25" s="98"/>
      <c r="I25" s="84"/>
      <c r="J25" s="98"/>
      <c r="K25" s="84"/>
      <c r="L25" s="98"/>
      <c r="M25" s="84"/>
      <c r="N25" s="98"/>
      <c r="O25" s="84"/>
      <c r="P25" s="98"/>
      <c r="Q25" s="84"/>
      <c r="R25" s="98"/>
      <c r="S25" s="84"/>
      <c r="T25" s="98"/>
      <c r="U25" s="84"/>
      <c r="V25" s="98"/>
      <c r="W25" s="84"/>
      <c r="X25" s="98"/>
      <c r="Y25" s="84"/>
      <c r="Z25" s="98"/>
      <c r="AA25" s="84"/>
      <c r="AB25" s="98"/>
      <c r="AC25" s="85"/>
    </row>
    <row r="26" spans="1:29" s="6" customFormat="1" ht="6.9" customHeight="1" x14ac:dyDescent="0.25">
      <c r="A26" s="86"/>
      <c r="B26" s="87"/>
      <c r="C26" s="87"/>
      <c r="D26" s="95"/>
      <c r="E26" s="89"/>
      <c r="F26" s="95"/>
      <c r="G26" s="89"/>
      <c r="H26" s="95"/>
      <c r="I26" s="89"/>
      <c r="J26" s="95"/>
      <c r="K26" s="89"/>
      <c r="L26" s="95"/>
      <c r="M26" s="89"/>
      <c r="N26" s="95"/>
      <c r="O26" s="89"/>
      <c r="P26" s="95"/>
      <c r="Q26" s="89"/>
      <c r="R26" s="95"/>
      <c r="S26" s="89"/>
      <c r="T26" s="95"/>
      <c r="U26" s="89"/>
      <c r="V26" s="95"/>
      <c r="W26" s="89"/>
      <c r="X26" s="95"/>
      <c r="Y26" s="89"/>
      <c r="Z26" s="95"/>
      <c r="AA26" s="89"/>
      <c r="AB26" s="95"/>
      <c r="AC26" s="90"/>
    </row>
    <row r="27" spans="1:29" s="6" customFormat="1" ht="18" customHeight="1" x14ac:dyDescent="0.25">
      <c r="A27" s="86"/>
      <c r="B27" s="91" t="s">
        <v>28</v>
      </c>
      <c r="C27" s="92"/>
      <c r="D27" s="93">
        <v>90</v>
      </c>
      <c r="E27" s="94"/>
      <c r="F27" s="93">
        <v>90</v>
      </c>
      <c r="G27" s="94"/>
      <c r="H27" s="93">
        <v>90</v>
      </c>
      <c r="I27" s="94"/>
      <c r="J27" s="93">
        <v>90</v>
      </c>
      <c r="K27" s="94"/>
      <c r="L27" s="93">
        <v>90</v>
      </c>
      <c r="M27" s="94"/>
      <c r="N27" s="93">
        <v>90</v>
      </c>
      <c r="O27" s="94"/>
      <c r="P27" s="93">
        <v>90</v>
      </c>
      <c r="Q27" s="94"/>
      <c r="R27" s="93">
        <v>90</v>
      </c>
      <c r="S27" s="94"/>
      <c r="T27" s="93">
        <v>90</v>
      </c>
      <c r="U27" s="94"/>
      <c r="V27" s="93">
        <v>90</v>
      </c>
      <c r="W27" s="94"/>
      <c r="X27" s="93">
        <v>90</v>
      </c>
      <c r="Y27" s="94"/>
      <c r="Z27" s="93">
        <v>90</v>
      </c>
      <c r="AA27" s="94"/>
      <c r="AB27" s="95">
        <f>SUM(D27,V27,X27,Z27)</f>
        <v>360</v>
      </c>
      <c r="AC27" s="96"/>
    </row>
    <row r="28" spans="1:29" s="6" customFormat="1" ht="18" customHeight="1" x14ac:dyDescent="0.25">
      <c r="A28" s="86"/>
      <c r="B28" s="91" t="s">
        <v>27</v>
      </c>
      <c r="C28" s="92"/>
      <c r="D28" s="93"/>
      <c r="E28" s="94"/>
      <c r="F28" s="93"/>
      <c r="G28" s="94"/>
      <c r="H28" s="93"/>
      <c r="I28" s="94"/>
      <c r="J28" s="93"/>
      <c r="K28" s="94"/>
      <c r="L28" s="93"/>
      <c r="M28" s="94"/>
      <c r="N28" s="93"/>
      <c r="O28" s="94"/>
      <c r="P28" s="93"/>
      <c r="Q28" s="94"/>
      <c r="R28" s="93"/>
      <c r="S28" s="94"/>
      <c r="T28" s="93"/>
      <c r="U28" s="94"/>
      <c r="V28" s="93"/>
      <c r="W28" s="94"/>
      <c r="X28" s="93"/>
      <c r="Y28" s="94"/>
      <c r="Z28" s="93"/>
      <c r="AA28" s="94"/>
      <c r="AB28" s="95">
        <f>SUM(D28,V28,X28,Z28)</f>
        <v>0</v>
      </c>
      <c r="AC28" s="96"/>
    </row>
    <row r="29" spans="1:29" s="6" customFormat="1" ht="18" customHeight="1" x14ac:dyDescent="0.25">
      <c r="A29" s="86"/>
      <c r="B29" s="91" t="s">
        <v>42</v>
      </c>
      <c r="C29" s="92"/>
      <c r="D29" s="93"/>
      <c r="E29" s="94"/>
      <c r="F29" s="93"/>
      <c r="G29" s="94"/>
      <c r="H29" s="93"/>
      <c r="I29" s="94"/>
      <c r="J29" s="93"/>
      <c r="K29" s="94"/>
      <c r="L29" s="93"/>
      <c r="M29" s="94"/>
      <c r="N29" s="93"/>
      <c r="O29" s="94"/>
      <c r="P29" s="93"/>
      <c r="Q29" s="94"/>
      <c r="R29" s="93"/>
      <c r="S29" s="94"/>
      <c r="T29" s="93"/>
      <c r="U29" s="94"/>
      <c r="V29" s="93"/>
      <c r="W29" s="94"/>
      <c r="X29" s="93"/>
      <c r="Y29" s="94"/>
      <c r="Z29" s="93"/>
      <c r="AA29" s="94"/>
      <c r="AB29" s="95">
        <f>SUM(D29,V29,X29,Z29)</f>
        <v>0</v>
      </c>
      <c r="AC29" s="96"/>
    </row>
    <row r="30" spans="1:29" s="6" customFormat="1" ht="18" customHeight="1" x14ac:dyDescent="0.25">
      <c r="A30" s="86"/>
      <c r="B30" s="91" t="s">
        <v>47</v>
      </c>
      <c r="C30" s="92"/>
      <c r="D30" s="93"/>
      <c r="E30" s="94"/>
      <c r="F30" s="93"/>
      <c r="G30" s="94"/>
      <c r="H30" s="93"/>
      <c r="I30" s="94"/>
      <c r="J30" s="93"/>
      <c r="K30" s="94"/>
      <c r="L30" s="93"/>
      <c r="M30" s="94"/>
      <c r="N30" s="93"/>
      <c r="O30" s="94"/>
      <c r="P30" s="93"/>
      <c r="Q30" s="94"/>
      <c r="R30" s="93"/>
      <c r="S30" s="94"/>
      <c r="T30" s="93"/>
      <c r="U30" s="94"/>
      <c r="V30" s="93"/>
      <c r="W30" s="94"/>
      <c r="X30" s="93"/>
      <c r="Y30" s="94"/>
      <c r="Z30" s="93"/>
      <c r="AA30" s="94"/>
      <c r="AB30" s="95">
        <f>SUM(D30,V30,X30,Z30)</f>
        <v>0</v>
      </c>
      <c r="AC30" s="96"/>
    </row>
    <row r="31" spans="1:29" s="6" customFormat="1" ht="6.9" customHeight="1" x14ac:dyDescent="0.25">
      <c r="A31" s="86"/>
      <c r="B31" s="92"/>
      <c r="C31" s="92"/>
      <c r="D31" s="95"/>
      <c r="E31" s="94"/>
      <c r="F31" s="95"/>
      <c r="G31" s="94"/>
      <c r="H31" s="95"/>
      <c r="I31" s="94"/>
      <c r="J31" s="95"/>
      <c r="K31" s="94"/>
      <c r="L31" s="95"/>
      <c r="M31" s="94"/>
      <c r="N31" s="95"/>
      <c r="O31" s="94"/>
      <c r="P31" s="95"/>
      <c r="Q31" s="94"/>
      <c r="R31" s="95"/>
      <c r="S31" s="94"/>
      <c r="T31" s="95"/>
      <c r="U31" s="94"/>
      <c r="V31" s="95"/>
      <c r="W31" s="94"/>
      <c r="X31" s="95"/>
      <c r="Y31" s="94"/>
      <c r="Z31" s="95"/>
      <c r="AA31" s="94"/>
      <c r="AB31" s="95"/>
      <c r="AC31" s="96"/>
    </row>
    <row r="32" spans="1:29" s="6" customFormat="1" ht="18" customHeight="1" x14ac:dyDescent="0.25">
      <c r="A32" s="81"/>
      <c r="B32" s="97" t="s">
        <v>29</v>
      </c>
      <c r="C32" s="97"/>
      <c r="D32" s="98">
        <f>SUM(D27:D30)</f>
        <v>90</v>
      </c>
      <c r="E32" s="99"/>
      <c r="F32" s="98">
        <f>SUM(F27:F30)</f>
        <v>90</v>
      </c>
      <c r="G32" s="99"/>
      <c r="H32" s="98">
        <f>SUM(H27:H30)</f>
        <v>90</v>
      </c>
      <c r="I32" s="99"/>
      <c r="J32" s="98">
        <f>SUM(J27:J30)</f>
        <v>90</v>
      </c>
      <c r="K32" s="99"/>
      <c r="L32" s="98">
        <f>SUM(L27:L30)</f>
        <v>90</v>
      </c>
      <c r="M32" s="99"/>
      <c r="N32" s="98">
        <f>SUM(N27:N30)</f>
        <v>90</v>
      </c>
      <c r="O32" s="99"/>
      <c r="P32" s="98">
        <f>SUM(P27:P30)</f>
        <v>90</v>
      </c>
      <c r="Q32" s="99"/>
      <c r="R32" s="98">
        <f>SUM(R27:R30)</f>
        <v>90</v>
      </c>
      <c r="S32" s="99"/>
      <c r="T32" s="98">
        <f>SUM(T27:T30)</f>
        <v>90</v>
      </c>
      <c r="U32" s="99"/>
      <c r="V32" s="98">
        <f>SUM(V27:V30)</f>
        <v>90</v>
      </c>
      <c r="W32" s="99"/>
      <c r="X32" s="98">
        <f>SUM(X27:X30)</f>
        <v>90</v>
      </c>
      <c r="Y32" s="99"/>
      <c r="Z32" s="98">
        <f>SUM(Z27:Z30)</f>
        <v>90</v>
      </c>
      <c r="AA32" s="99"/>
      <c r="AB32" s="98">
        <f>SUM(AB27:AB30)</f>
        <v>360</v>
      </c>
      <c r="AC32" s="100"/>
    </row>
    <row r="33" spans="1:29" s="6" customFormat="1" ht="18" customHeight="1" x14ac:dyDescent="0.25">
      <c r="A33" s="101"/>
      <c r="B33" s="109"/>
      <c r="C33" s="109"/>
      <c r="D33" s="93"/>
      <c r="E33" s="102"/>
      <c r="F33" s="93"/>
      <c r="G33" s="102"/>
      <c r="H33" s="93"/>
      <c r="I33" s="102"/>
      <c r="J33" s="93"/>
      <c r="K33" s="102"/>
      <c r="L33" s="93"/>
      <c r="M33" s="102"/>
      <c r="N33" s="93"/>
      <c r="O33" s="102"/>
      <c r="P33" s="93"/>
      <c r="Q33" s="102"/>
      <c r="R33" s="93"/>
      <c r="S33" s="102"/>
      <c r="T33" s="93"/>
      <c r="U33" s="102"/>
      <c r="V33" s="93"/>
      <c r="W33" s="102"/>
      <c r="X33" s="93"/>
      <c r="Y33" s="102"/>
      <c r="Z33" s="93"/>
      <c r="AA33" s="102"/>
      <c r="AB33" s="93"/>
      <c r="AC33" s="103"/>
    </row>
    <row r="34" spans="1:29" s="11" customFormat="1" ht="20.100000000000001" customHeight="1" x14ac:dyDescent="0.25">
      <c r="A34" s="110"/>
      <c r="B34" s="111" t="s">
        <v>30</v>
      </c>
      <c r="C34" s="111"/>
      <c r="D34" s="112">
        <f>D23+D32</f>
        <v>160</v>
      </c>
      <c r="E34" s="113">
        <f>IF(OR(D34=0,$D$12=0),"-",D34/$D$12)</f>
        <v>0.94117647058823528</v>
      </c>
      <c r="F34" s="112">
        <f>F23+F32</f>
        <v>160</v>
      </c>
      <c r="G34" s="113">
        <f>IF(OR(F34=0,$D$12=0),"-",F34/$D$12)</f>
        <v>0.94117647058823528</v>
      </c>
      <c r="H34" s="112">
        <f>H23+H32</f>
        <v>160</v>
      </c>
      <c r="I34" s="113">
        <f>IF(OR(H34=0,$D$12=0),"-",H34/$D$12)</f>
        <v>0.94117647058823528</v>
      </c>
      <c r="J34" s="112">
        <f>J23+J32</f>
        <v>160</v>
      </c>
      <c r="K34" s="113">
        <f>IF(OR(J34=0,$D$12=0),"-",J34/$D$12)</f>
        <v>0.94117647058823528</v>
      </c>
      <c r="L34" s="112">
        <f>L23+L32</f>
        <v>160</v>
      </c>
      <c r="M34" s="113">
        <f>IF(OR(L34=0,$D$12=0),"-",L34/$D$12)</f>
        <v>0.94117647058823528</v>
      </c>
      <c r="N34" s="112">
        <f>N23+N32</f>
        <v>160</v>
      </c>
      <c r="O34" s="113">
        <f>IF(OR(N34=0,$D$12=0),"-",N34/$D$12)</f>
        <v>0.94117647058823528</v>
      </c>
      <c r="P34" s="112">
        <f>P23+P32</f>
        <v>160</v>
      </c>
      <c r="Q34" s="113">
        <f>IF(OR(P34=0,$D$12=0),"-",P34/$D$12)</f>
        <v>0.94117647058823528</v>
      </c>
      <c r="R34" s="112">
        <f>R23+R32</f>
        <v>160</v>
      </c>
      <c r="S34" s="113">
        <f>IF(OR(R34=0,$D$12=0),"-",R34/$D$12)</f>
        <v>0.94117647058823528</v>
      </c>
      <c r="T34" s="112">
        <f>T23+T32</f>
        <v>160</v>
      </c>
      <c r="U34" s="113">
        <f>IF(OR(T34=0,$D$12=0),"-",T34/$D$12)</f>
        <v>0.94117647058823528</v>
      </c>
      <c r="V34" s="112">
        <f>V23+V32</f>
        <v>160</v>
      </c>
      <c r="W34" s="113">
        <f>IF(OR(V34=0,$D$12=0),"-",V34/$D$12)</f>
        <v>0.94117647058823528</v>
      </c>
      <c r="X34" s="112">
        <f>X23+X32</f>
        <v>160</v>
      </c>
      <c r="Y34" s="113">
        <f>IF(OR(X34=0,$D$12=0),"-",X34/$D$12)</f>
        <v>0.94117647058823528</v>
      </c>
      <c r="Z34" s="112">
        <f>Z23+Z32</f>
        <v>160</v>
      </c>
      <c r="AA34" s="113">
        <f>IF(OR(Z34=0,$D$12=0),"-",Z34/$D$12)</f>
        <v>0.94117647058823528</v>
      </c>
      <c r="AB34" s="112">
        <f>AB23+AB32</f>
        <v>640</v>
      </c>
      <c r="AC34" s="114">
        <f>IF(OR(AB34=0,$AB$12=0),"-",AB34/$AB$12)</f>
        <v>0.94117647058823528</v>
      </c>
    </row>
    <row r="35" spans="1:29" s="6" customFormat="1" ht="18" customHeight="1" x14ac:dyDescent="0.25">
      <c r="A35" s="101"/>
      <c r="B35" s="109"/>
      <c r="C35" s="109"/>
      <c r="D35" s="93"/>
      <c r="E35" s="102"/>
      <c r="F35" s="93"/>
      <c r="G35" s="102"/>
      <c r="H35" s="93"/>
      <c r="I35" s="102"/>
      <c r="J35" s="93"/>
      <c r="K35" s="102"/>
      <c r="L35" s="93"/>
      <c r="M35" s="102"/>
      <c r="N35" s="93"/>
      <c r="O35" s="102"/>
      <c r="P35" s="93"/>
      <c r="Q35" s="102"/>
      <c r="R35" s="93"/>
      <c r="S35" s="102"/>
      <c r="T35" s="93"/>
      <c r="U35" s="102"/>
      <c r="V35" s="93"/>
      <c r="W35" s="102"/>
      <c r="X35" s="93"/>
      <c r="Y35" s="102"/>
      <c r="Z35" s="93"/>
      <c r="AA35" s="102"/>
      <c r="AB35" s="93"/>
      <c r="AC35" s="103"/>
    </row>
    <row r="36" spans="1:29" s="6" customFormat="1" ht="20.100000000000001" customHeight="1" x14ac:dyDescent="0.25">
      <c r="A36" s="115"/>
      <c r="B36" s="116" t="s">
        <v>32</v>
      </c>
      <c r="C36" s="116"/>
      <c r="D36" s="117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7"/>
      <c r="W36" s="118"/>
      <c r="X36" s="117"/>
      <c r="Y36" s="118"/>
      <c r="Z36" s="117"/>
      <c r="AA36" s="118"/>
      <c r="AB36" s="117"/>
      <c r="AC36" s="119"/>
    </row>
    <row r="37" spans="1:29" s="6" customFormat="1" ht="6.9" customHeight="1" x14ac:dyDescent="0.25">
      <c r="A37" s="101"/>
      <c r="B37" s="109"/>
      <c r="C37" s="109"/>
      <c r="D37" s="93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93"/>
      <c r="W37" s="102"/>
      <c r="X37" s="93"/>
      <c r="Y37" s="102"/>
      <c r="Z37" s="93"/>
      <c r="AA37" s="102"/>
      <c r="AB37" s="93"/>
      <c r="AC37" s="103"/>
    </row>
    <row r="38" spans="1:29" s="6" customFormat="1" ht="18" customHeight="1" thickBot="1" x14ac:dyDescent="0.3">
      <c r="A38" s="120"/>
      <c r="B38" s="121" t="s">
        <v>6</v>
      </c>
      <c r="C38" s="121"/>
      <c r="D38" s="122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2"/>
      <c r="W38" s="123"/>
      <c r="X38" s="122"/>
      <c r="Y38" s="123"/>
      <c r="Z38" s="122"/>
      <c r="AA38" s="123"/>
      <c r="AB38" s="122"/>
      <c r="AC38" s="124"/>
    </row>
    <row r="39" spans="1:29" s="6" customFormat="1" ht="18" customHeight="1" x14ac:dyDescent="0.25">
      <c r="A39" s="27"/>
      <c r="B39" s="43" t="s">
        <v>53</v>
      </c>
      <c r="C39" s="41"/>
      <c r="D39" s="30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30"/>
      <c r="W39" s="28"/>
      <c r="X39" s="30"/>
      <c r="Y39" s="28"/>
      <c r="Z39" s="30"/>
      <c r="AA39" s="28"/>
      <c r="AB39" s="30"/>
      <c r="AC39" s="28"/>
    </row>
    <row r="40" spans="1:29" s="6" customFormat="1" ht="18" customHeight="1" x14ac:dyDescent="0.25">
      <c r="A40" s="27"/>
      <c r="B40" s="32" t="s">
        <v>7</v>
      </c>
      <c r="C40" s="29"/>
      <c r="D40" s="33"/>
      <c r="E40" s="31" t="str">
        <f t="shared" ref="E40:W44" si="0">IF(OR(D40=0,$D$12=0),"-",D40/$D$12)</f>
        <v>-</v>
      </c>
      <c r="F40" s="33"/>
      <c r="G40" s="31" t="str">
        <f t="shared" ref="G40:G44" si="1">IF(OR(F40=0,$D$12=0),"-",F40/$D$12)</f>
        <v>-</v>
      </c>
      <c r="H40" s="33"/>
      <c r="I40" s="31" t="str">
        <f t="shared" ref="I40:I44" si="2">IF(OR(H40=0,$D$12=0),"-",H40/$D$12)</f>
        <v>-</v>
      </c>
      <c r="J40" s="33"/>
      <c r="K40" s="31" t="str">
        <f t="shared" ref="K40:K44" si="3">IF(OR(J40=0,$D$12=0),"-",J40/$D$12)</f>
        <v>-</v>
      </c>
      <c r="L40" s="33"/>
      <c r="M40" s="31" t="str">
        <f t="shared" ref="M40:M44" si="4">IF(OR(L40=0,$D$12=0),"-",L40/$D$12)</f>
        <v>-</v>
      </c>
      <c r="N40" s="33"/>
      <c r="O40" s="31" t="str">
        <f t="shared" ref="O40:O44" si="5">IF(OR(N40=0,$D$12=0),"-",N40/$D$12)</f>
        <v>-</v>
      </c>
      <c r="P40" s="33"/>
      <c r="Q40" s="31" t="str">
        <f t="shared" ref="Q40:Q44" si="6">IF(OR(P40=0,$D$12=0),"-",P40/$D$12)</f>
        <v>-</v>
      </c>
      <c r="R40" s="33"/>
      <c r="S40" s="31" t="str">
        <f t="shared" ref="S40:S44" si="7">IF(OR(R40=0,$D$12=0),"-",R40/$D$12)</f>
        <v>-</v>
      </c>
      <c r="T40" s="33"/>
      <c r="U40" s="31" t="str">
        <f t="shared" ref="U40:U44" si="8">IF(OR(T40=0,$D$12=0),"-",T40/$D$12)</f>
        <v>-</v>
      </c>
      <c r="V40" s="33"/>
      <c r="W40" s="31" t="str">
        <f t="shared" si="0"/>
        <v>-</v>
      </c>
      <c r="X40" s="33"/>
      <c r="Y40" s="31" t="str">
        <f>IF(OR(X40=0,$D$12=0),"-",X40/$D$12)</f>
        <v>-</v>
      </c>
      <c r="Z40" s="33"/>
      <c r="AA40" s="31" t="str">
        <f>IF(OR(Z40=0,$D$12=0),"-",Z40/$D$12)</f>
        <v>-</v>
      </c>
      <c r="AB40" s="30"/>
      <c r="AC40" s="31" t="str">
        <f>IF(OR(AB40=0,$AB$12=0),"-",AB40/$AB$12)</f>
        <v>-</v>
      </c>
    </row>
    <row r="41" spans="1:29" s="6" customFormat="1" ht="18" customHeight="1" x14ac:dyDescent="0.25">
      <c r="A41" s="27"/>
      <c r="B41" s="32" t="s">
        <v>8</v>
      </c>
      <c r="C41" s="29"/>
      <c r="D41" s="33"/>
      <c r="E41" s="31" t="str">
        <f t="shared" si="0"/>
        <v>-</v>
      </c>
      <c r="F41" s="33"/>
      <c r="G41" s="31" t="str">
        <f t="shared" si="1"/>
        <v>-</v>
      </c>
      <c r="H41" s="33"/>
      <c r="I41" s="31" t="str">
        <f t="shared" si="2"/>
        <v>-</v>
      </c>
      <c r="J41" s="33"/>
      <c r="K41" s="31" t="str">
        <f t="shared" si="3"/>
        <v>-</v>
      </c>
      <c r="L41" s="33"/>
      <c r="M41" s="31" t="str">
        <f t="shared" si="4"/>
        <v>-</v>
      </c>
      <c r="N41" s="33"/>
      <c r="O41" s="31" t="str">
        <f t="shared" si="5"/>
        <v>-</v>
      </c>
      <c r="P41" s="33"/>
      <c r="Q41" s="31" t="str">
        <f t="shared" si="6"/>
        <v>-</v>
      </c>
      <c r="R41" s="33"/>
      <c r="S41" s="31" t="str">
        <f t="shared" si="7"/>
        <v>-</v>
      </c>
      <c r="T41" s="33"/>
      <c r="U41" s="31" t="str">
        <f t="shared" si="8"/>
        <v>-</v>
      </c>
      <c r="V41" s="33"/>
      <c r="W41" s="31" t="str">
        <f t="shared" si="0"/>
        <v>-</v>
      </c>
      <c r="X41" s="33"/>
      <c r="Y41" s="31" t="str">
        <f>IF(OR(X41=0,$D$12=0),"-",X41/$D$12)</f>
        <v>-</v>
      </c>
      <c r="Z41" s="33"/>
      <c r="AA41" s="31" t="str">
        <f>IF(OR(Z41=0,$D$12=0),"-",Z41/$D$12)</f>
        <v>-</v>
      </c>
      <c r="AB41" s="30"/>
      <c r="AC41" s="31" t="str">
        <f>IF(OR(AB41=0,$AB$12=0),"-",AB41/$AB$12)</f>
        <v>-</v>
      </c>
    </row>
    <row r="42" spans="1:29" s="6" customFormat="1" ht="18" customHeight="1" x14ac:dyDescent="0.25">
      <c r="A42" s="27"/>
      <c r="B42" s="32" t="s">
        <v>9</v>
      </c>
      <c r="C42" s="29"/>
      <c r="D42" s="33"/>
      <c r="E42" s="31" t="str">
        <f t="shared" si="0"/>
        <v>-</v>
      </c>
      <c r="F42" s="33"/>
      <c r="G42" s="31" t="str">
        <f t="shared" si="1"/>
        <v>-</v>
      </c>
      <c r="H42" s="33"/>
      <c r="I42" s="31" t="str">
        <f t="shared" si="2"/>
        <v>-</v>
      </c>
      <c r="J42" s="33"/>
      <c r="K42" s="31" t="str">
        <f t="shared" si="3"/>
        <v>-</v>
      </c>
      <c r="L42" s="33"/>
      <c r="M42" s="31" t="str">
        <f t="shared" si="4"/>
        <v>-</v>
      </c>
      <c r="N42" s="33"/>
      <c r="O42" s="31" t="str">
        <f t="shared" si="5"/>
        <v>-</v>
      </c>
      <c r="P42" s="33"/>
      <c r="Q42" s="31" t="str">
        <f t="shared" si="6"/>
        <v>-</v>
      </c>
      <c r="R42" s="33"/>
      <c r="S42" s="31" t="str">
        <f t="shared" si="7"/>
        <v>-</v>
      </c>
      <c r="T42" s="33"/>
      <c r="U42" s="31" t="str">
        <f t="shared" si="8"/>
        <v>-</v>
      </c>
      <c r="V42" s="33"/>
      <c r="W42" s="31" t="str">
        <f t="shared" si="0"/>
        <v>-</v>
      </c>
      <c r="X42" s="33"/>
      <c r="Y42" s="31" t="str">
        <f>IF(OR(X42=0,$D$12=0),"-",X42/$D$12)</f>
        <v>-</v>
      </c>
      <c r="Z42" s="33"/>
      <c r="AA42" s="31" t="str">
        <f>IF(OR(Z42=0,$D$12=0),"-",Z42/$D$12)</f>
        <v>-</v>
      </c>
      <c r="AB42" s="30"/>
      <c r="AC42" s="31" t="str">
        <f>IF(OR(AB42=0,$AB$12=0),"-",AB42/$AB$12)</f>
        <v>-</v>
      </c>
    </row>
    <row r="43" spans="1:29" s="6" customFormat="1" ht="18" customHeight="1" x14ac:dyDescent="0.25">
      <c r="A43" s="27"/>
      <c r="B43" s="32" t="s">
        <v>9</v>
      </c>
      <c r="C43" s="29"/>
      <c r="D43" s="33"/>
      <c r="E43" s="31" t="str">
        <f t="shared" si="0"/>
        <v>-</v>
      </c>
      <c r="F43" s="33"/>
      <c r="G43" s="31" t="str">
        <f t="shared" si="1"/>
        <v>-</v>
      </c>
      <c r="H43" s="33"/>
      <c r="I43" s="31" t="str">
        <f t="shared" si="2"/>
        <v>-</v>
      </c>
      <c r="J43" s="33"/>
      <c r="K43" s="31" t="str">
        <f t="shared" si="3"/>
        <v>-</v>
      </c>
      <c r="L43" s="33"/>
      <c r="M43" s="31" t="str">
        <f t="shared" si="4"/>
        <v>-</v>
      </c>
      <c r="N43" s="33"/>
      <c r="O43" s="31" t="str">
        <f t="shared" si="5"/>
        <v>-</v>
      </c>
      <c r="P43" s="33"/>
      <c r="Q43" s="31" t="str">
        <f t="shared" si="6"/>
        <v>-</v>
      </c>
      <c r="R43" s="33"/>
      <c r="S43" s="31" t="str">
        <f t="shared" si="7"/>
        <v>-</v>
      </c>
      <c r="T43" s="33"/>
      <c r="U43" s="31" t="str">
        <f t="shared" si="8"/>
        <v>-</v>
      </c>
      <c r="V43" s="33"/>
      <c r="W43" s="31" t="str">
        <f t="shared" si="0"/>
        <v>-</v>
      </c>
      <c r="X43" s="33"/>
      <c r="Y43" s="31" t="str">
        <f>IF(OR(X43=0,$D$12=0),"-",X43/$D$12)</f>
        <v>-</v>
      </c>
      <c r="Z43" s="33"/>
      <c r="AA43" s="31" t="str">
        <f>IF(OR(Z43=0,$D$12=0),"-",Z43/$D$12)</f>
        <v>-</v>
      </c>
      <c r="AB43" s="30"/>
      <c r="AC43" s="31" t="str">
        <f>IF(OR(AB43=0,$AB$12=0),"-",AB43/$AB$12)</f>
        <v>-</v>
      </c>
    </row>
    <row r="44" spans="1:29" s="6" customFormat="1" ht="18" customHeight="1" x14ac:dyDescent="0.25">
      <c r="A44" s="27"/>
      <c r="B44" s="43" t="s">
        <v>54</v>
      </c>
      <c r="C44" s="41"/>
      <c r="D44" s="30">
        <f>SUM(D40:D43)</f>
        <v>0</v>
      </c>
      <c r="E44" s="31" t="str">
        <f t="shared" si="0"/>
        <v>-</v>
      </c>
      <c r="F44" s="30">
        <f>SUM(F40:F43)</f>
        <v>0</v>
      </c>
      <c r="G44" s="31" t="str">
        <f t="shared" si="1"/>
        <v>-</v>
      </c>
      <c r="H44" s="30">
        <f>SUM(H40:H43)</f>
        <v>0</v>
      </c>
      <c r="I44" s="31" t="str">
        <f t="shared" si="2"/>
        <v>-</v>
      </c>
      <c r="J44" s="30">
        <f>SUM(J40:J43)</f>
        <v>0</v>
      </c>
      <c r="K44" s="31" t="str">
        <f t="shared" si="3"/>
        <v>-</v>
      </c>
      <c r="L44" s="30">
        <f>SUM(L40:L43)</f>
        <v>0</v>
      </c>
      <c r="M44" s="31" t="str">
        <f t="shared" si="4"/>
        <v>-</v>
      </c>
      <c r="N44" s="30">
        <f>SUM(N40:N43)</f>
        <v>0</v>
      </c>
      <c r="O44" s="31" t="str">
        <f t="shared" si="5"/>
        <v>-</v>
      </c>
      <c r="P44" s="30">
        <f>SUM(P40:P43)</f>
        <v>0</v>
      </c>
      <c r="Q44" s="31" t="str">
        <f t="shared" si="6"/>
        <v>-</v>
      </c>
      <c r="R44" s="30">
        <f>SUM(R40:R43)</f>
        <v>0</v>
      </c>
      <c r="S44" s="31" t="str">
        <f t="shared" si="7"/>
        <v>-</v>
      </c>
      <c r="T44" s="30">
        <f>SUM(T40:T43)</f>
        <v>0</v>
      </c>
      <c r="U44" s="31" t="str">
        <f t="shared" si="8"/>
        <v>-</v>
      </c>
      <c r="V44" s="30">
        <f>SUM(V40:V43)</f>
        <v>0</v>
      </c>
      <c r="W44" s="31" t="str">
        <f t="shared" si="0"/>
        <v>-</v>
      </c>
      <c r="X44" s="30">
        <f>SUM(X40:X43)</f>
        <v>0</v>
      </c>
      <c r="Y44" s="31" t="str">
        <f>IF(OR(X44=0,$D$12=0),"-",X44/$D$12)</f>
        <v>-</v>
      </c>
      <c r="Z44" s="30">
        <f>SUM(Z40:Z43)</f>
        <v>0</v>
      </c>
      <c r="AA44" s="31" t="str">
        <f>IF(OR(Z44=0,$D$12=0),"-",Z44/$D$12)</f>
        <v>-</v>
      </c>
      <c r="AB44" s="30">
        <f>SUM(AB40:AB43)</f>
        <v>0</v>
      </c>
      <c r="AC44" s="31" t="str">
        <f>IF(OR(AB44=0,$AB$12=0),"-",AB44/$AB$12)</f>
        <v>-</v>
      </c>
    </row>
    <row r="45" spans="1:29" s="6" customFormat="1" ht="6.9" customHeight="1" x14ac:dyDescent="0.25">
      <c r="A45" s="27"/>
      <c r="B45" s="29"/>
      <c r="C45" s="29"/>
      <c r="D45" s="30"/>
      <c r="E45" s="28"/>
      <c r="F45" s="30"/>
      <c r="G45" s="28"/>
      <c r="H45" s="30"/>
      <c r="I45" s="28"/>
      <c r="J45" s="30"/>
      <c r="K45" s="28"/>
      <c r="L45" s="30"/>
      <c r="M45" s="28"/>
      <c r="N45" s="30"/>
      <c r="O45" s="28"/>
      <c r="P45" s="30"/>
      <c r="Q45" s="28"/>
      <c r="R45" s="30"/>
      <c r="S45" s="28"/>
      <c r="T45" s="30"/>
      <c r="U45" s="28"/>
      <c r="V45" s="30"/>
      <c r="W45" s="28"/>
      <c r="X45" s="30"/>
      <c r="Y45" s="28"/>
      <c r="Z45" s="30"/>
      <c r="AA45" s="28"/>
      <c r="AB45" s="30"/>
      <c r="AC45" s="28"/>
    </row>
    <row r="46" spans="1:29" s="6" customFormat="1" ht="18" customHeight="1" x14ac:dyDescent="0.25">
      <c r="A46" s="27"/>
      <c r="B46" s="43" t="s">
        <v>55</v>
      </c>
      <c r="C46" s="41"/>
      <c r="D46" s="30"/>
      <c r="E46" s="28"/>
      <c r="F46" s="30"/>
      <c r="G46" s="28"/>
      <c r="H46" s="30"/>
      <c r="I46" s="28"/>
      <c r="J46" s="30"/>
      <c r="K46" s="28"/>
      <c r="L46" s="30"/>
      <c r="M46" s="28"/>
      <c r="N46" s="30"/>
      <c r="O46" s="28"/>
      <c r="P46" s="30"/>
      <c r="Q46" s="28"/>
      <c r="R46" s="30"/>
      <c r="S46" s="28"/>
      <c r="T46" s="30"/>
      <c r="U46" s="28"/>
      <c r="V46" s="30"/>
      <c r="W46" s="28"/>
      <c r="X46" s="30"/>
      <c r="Y46" s="28"/>
      <c r="Z46" s="30"/>
      <c r="AA46" s="28"/>
      <c r="AB46" s="30"/>
      <c r="AC46" s="28"/>
    </row>
    <row r="47" spans="1:29" s="6" customFormat="1" ht="18" customHeight="1" x14ac:dyDescent="0.25">
      <c r="A47" s="27"/>
      <c r="B47" s="32" t="s">
        <v>10</v>
      </c>
      <c r="C47" s="29"/>
      <c r="D47" s="33"/>
      <c r="E47" s="31" t="str">
        <f t="shared" ref="E47:W51" si="9">IF(OR(D47=0,$D$12=0),"-",D47/$D$12)</f>
        <v>-</v>
      </c>
      <c r="F47" s="33"/>
      <c r="G47" s="31" t="str">
        <f t="shared" ref="G47:G51" si="10">IF(OR(F47=0,$D$12=0),"-",F47/$D$12)</f>
        <v>-</v>
      </c>
      <c r="H47" s="33"/>
      <c r="I47" s="31" t="str">
        <f t="shared" ref="I47:I51" si="11">IF(OR(H47=0,$D$12=0),"-",H47/$D$12)</f>
        <v>-</v>
      </c>
      <c r="J47" s="33"/>
      <c r="K47" s="31" t="str">
        <f t="shared" ref="K47:K51" si="12">IF(OR(J47=0,$D$12=0),"-",J47/$D$12)</f>
        <v>-</v>
      </c>
      <c r="L47" s="33"/>
      <c r="M47" s="31" t="str">
        <f t="shared" ref="M47:M51" si="13">IF(OR(L47=0,$D$12=0),"-",L47/$D$12)</f>
        <v>-</v>
      </c>
      <c r="N47" s="33"/>
      <c r="O47" s="31" t="str">
        <f t="shared" ref="O47:O51" si="14">IF(OR(N47=0,$D$12=0),"-",N47/$D$12)</f>
        <v>-</v>
      </c>
      <c r="P47" s="33"/>
      <c r="Q47" s="31" t="str">
        <f t="shared" ref="Q47:Q51" si="15">IF(OR(P47=0,$D$12=0),"-",P47/$D$12)</f>
        <v>-</v>
      </c>
      <c r="R47" s="33"/>
      <c r="S47" s="31" t="str">
        <f t="shared" ref="S47:S51" si="16">IF(OR(R47=0,$D$12=0),"-",R47/$D$12)</f>
        <v>-</v>
      </c>
      <c r="T47" s="33"/>
      <c r="U47" s="31" t="str">
        <f t="shared" ref="U47:U51" si="17">IF(OR(T47=0,$D$12=0),"-",T47/$D$12)</f>
        <v>-</v>
      </c>
      <c r="V47" s="33"/>
      <c r="W47" s="31" t="str">
        <f t="shared" si="9"/>
        <v>-</v>
      </c>
      <c r="X47" s="33"/>
      <c r="Y47" s="31" t="str">
        <f>IF(OR(X47=0,$D$12=0),"-",X47/$D$12)</f>
        <v>-</v>
      </c>
      <c r="Z47" s="33"/>
      <c r="AA47" s="31" t="str">
        <f>IF(OR(Z47=0,$D$12=0),"-",Z47/$D$12)</f>
        <v>-</v>
      </c>
      <c r="AB47" s="30"/>
      <c r="AC47" s="31" t="str">
        <f>IF(OR(AB47=0,$AB$12=0),"-",AB47/$AB$12)</f>
        <v>-</v>
      </c>
    </row>
    <row r="48" spans="1:29" s="6" customFormat="1" ht="18" customHeight="1" x14ac:dyDescent="0.25">
      <c r="A48" s="27"/>
      <c r="B48" s="32" t="s">
        <v>11</v>
      </c>
      <c r="C48" s="29"/>
      <c r="D48" s="33"/>
      <c r="E48" s="31" t="str">
        <f t="shared" si="9"/>
        <v>-</v>
      </c>
      <c r="F48" s="33"/>
      <c r="G48" s="31" t="str">
        <f t="shared" si="10"/>
        <v>-</v>
      </c>
      <c r="H48" s="33"/>
      <c r="I48" s="31" t="str">
        <f t="shared" si="11"/>
        <v>-</v>
      </c>
      <c r="J48" s="33"/>
      <c r="K48" s="31" t="str">
        <f t="shared" si="12"/>
        <v>-</v>
      </c>
      <c r="L48" s="33"/>
      <c r="M48" s="31" t="str">
        <f t="shared" si="13"/>
        <v>-</v>
      </c>
      <c r="N48" s="33"/>
      <c r="O48" s="31" t="str">
        <f t="shared" si="14"/>
        <v>-</v>
      </c>
      <c r="P48" s="33"/>
      <c r="Q48" s="31" t="str">
        <f t="shared" si="15"/>
        <v>-</v>
      </c>
      <c r="R48" s="33"/>
      <c r="S48" s="31" t="str">
        <f t="shared" si="16"/>
        <v>-</v>
      </c>
      <c r="T48" s="33"/>
      <c r="U48" s="31" t="str">
        <f t="shared" si="17"/>
        <v>-</v>
      </c>
      <c r="V48" s="33"/>
      <c r="W48" s="31" t="str">
        <f t="shared" si="9"/>
        <v>-</v>
      </c>
      <c r="X48" s="33"/>
      <c r="Y48" s="31" t="str">
        <f>IF(OR(X48=0,$D$12=0),"-",X48/$D$12)</f>
        <v>-</v>
      </c>
      <c r="Z48" s="33"/>
      <c r="AA48" s="31" t="str">
        <f>IF(OR(Z48=0,$D$12=0),"-",Z48/$D$12)</f>
        <v>-</v>
      </c>
      <c r="AB48" s="30"/>
      <c r="AC48" s="31" t="str">
        <f>IF(OR(AB48=0,$AB$12=0),"-",AB48/$AB$12)</f>
        <v>-</v>
      </c>
    </row>
    <row r="49" spans="1:29" s="6" customFormat="1" ht="18" customHeight="1" x14ac:dyDescent="0.25">
      <c r="A49" s="27"/>
      <c r="B49" s="32" t="s">
        <v>9</v>
      </c>
      <c r="C49" s="29"/>
      <c r="D49" s="33"/>
      <c r="E49" s="31" t="str">
        <f t="shared" si="9"/>
        <v>-</v>
      </c>
      <c r="F49" s="33"/>
      <c r="G49" s="31" t="str">
        <f t="shared" si="10"/>
        <v>-</v>
      </c>
      <c r="H49" s="33"/>
      <c r="I49" s="31" t="str">
        <f t="shared" si="11"/>
        <v>-</v>
      </c>
      <c r="J49" s="33"/>
      <c r="K49" s="31" t="str">
        <f t="shared" si="12"/>
        <v>-</v>
      </c>
      <c r="L49" s="33"/>
      <c r="M49" s="31" t="str">
        <f t="shared" si="13"/>
        <v>-</v>
      </c>
      <c r="N49" s="33"/>
      <c r="O49" s="31" t="str">
        <f t="shared" si="14"/>
        <v>-</v>
      </c>
      <c r="P49" s="33"/>
      <c r="Q49" s="31" t="str">
        <f t="shared" si="15"/>
        <v>-</v>
      </c>
      <c r="R49" s="33"/>
      <c r="S49" s="31" t="str">
        <f t="shared" si="16"/>
        <v>-</v>
      </c>
      <c r="T49" s="33"/>
      <c r="U49" s="31" t="str">
        <f t="shared" si="17"/>
        <v>-</v>
      </c>
      <c r="V49" s="33"/>
      <c r="W49" s="31" t="str">
        <f t="shared" si="9"/>
        <v>-</v>
      </c>
      <c r="X49" s="33"/>
      <c r="Y49" s="31" t="str">
        <f>IF(OR(X49=0,$D$12=0),"-",X49/$D$12)</f>
        <v>-</v>
      </c>
      <c r="Z49" s="33"/>
      <c r="AA49" s="31" t="str">
        <f>IF(OR(Z49=0,$D$12=0),"-",Z49/$D$12)</f>
        <v>-</v>
      </c>
      <c r="AB49" s="30"/>
      <c r="AC49" s="31" t="str">
        <f>IF(OR(AB49=0,$AB$12=0),"-",AB49/$AB$12)</f>
        <v>-</v>
      </c>
    </row>
    <row r="50" spans="1:29" s="6" customFormat="1" ht="18" customHeight="1" x14ac:dyDescent="0.25">
      <c r="A50" s="27"/>
      <c r="B50" s="32" t="s">
        <v>9</v>
      </c>
      <c r="C50" s="29"/>
      <c r="D50" s="33"/>
      <c r="E50" s="31" t="str">
        <f t="shared" si="9"/>
        <v>-</v>
      </c>
      <c r="F50" s="33"/>
      <c r="G50" s="31" t="str">
        <f t="shared" si="10"/>
        <v>-</v>
      </c>
      <c r="H50" s="33"/>
      <c r="I50" s="31" t="str">
        <f t="shared" si="11"/>
        <v>-</v>
      </c>
      <c r="J50" s="33"/>
      <c r="K50" s="31" t="str">
        <f t="shared" si="12"/>
        <v>-</v>
      </c>
      <c r="L50" s="33"/>
      <c r="M50" s="31" t="str">
        <f t="shared" si="13"/>
        <v>-</v>
      </c>
      <c r="N50" s="33"/>
      <c r="O50" s="31" t="str">
        <f t="shared" si="14"/>
        <v>-</v>
      </c>
      <c r="P50" s="33"/>
      <c r="Q50" s="31" t="str">
        <f t="shared" si="15"/>
        <v>-</v>
      </c>
      <c r="R50" s="33"/>
      <c r="S50" s="31" t="str">
        <f t="shared" si="16"/>
        <v>-</v>
      </c>
      <c r="T50" s="33"/>
      <c r="U50" s="31" t="str">
        <f t="shared" si="17"/>
        <v>-</v>
      </c>
      <c r="V50" s="33"/>
      <c r="W50" s="31" t="str">
        <f t="shared" si="9"/>
        <v>-</v>
      </c>
      <c r="X50" s="33"/>
      <c r="Y50" s="31" t="str">
        <f>IF(OR(X50=0,$D$12=0),"-",X50/$D$12)</f>
        <v>-</v>
      </c>
      <c r="Z50" s="33"/>
      <c r="AA50" s="31" t="str">
        <f>IF(OR(Z50=0,$D$12=0),"-",Z50/$D$12)</f>
        <v>-</v>
      </c>
      <c r="AB50" s="30"/>
      <c r="AC50" s="31" t="str">
        <f>IF(OR(AB50=0,$AB$12=0),"-",AB50/$AB$12)</f>
        <v>-</v>
      </c>
    </row>
    <row r="51" spans="1:29" s="6" customFormat="1" ht="18" customHeight="1" x14ac:dyDescent="0.25">
      <c r="A51" s="27"/>
      <c r="B51" s="43" t="s">
        <v>56</v>
      </c>
      <c r="C51" s="41"/>
      <c r="D51" s="30">
        <f>SUM(D47:D50)</f>
        <v>0</v>
      </c>
      <c r="E51" s="31" t="str">
        <f t="shared" si="9"/>
        <v>-</v>
      </c>
      <c r="F51" s="30">
        <f>SUM(F47:F50)</f>
        <v>0</v>
      </c>
      <c r="G51" s="31" t="str">
        <f t="shared" si="10"/>
        <v>-</v>
      </c>
      <c r="H51" s="30">
        <f>SUM(H47:H50)</f>
        <v>0</v>
      </c>
      <c r="I51" s="31" t="str">
        <f t="shared" si="11"/>
        <v>-</v>
      </c>
      <c r="J51" s="30">
        <f>SUM(J47:J50)</f>
        <v>0</v>
      </c>
      <c r="K51" s="31" t="str">
        <f t="shared" si="12"/>
        <v>-</v>
      </c>
      <c r="L51" s="30">
        <f>SUM(L47:L50)</f>
        <v>0</v>
      </c>
      <c r="M51" s="31" t="str">
        <f t="shared" si="13"/>
        <v>-</v>
      </c>
      <c r="N51" s="30">
        <f>SUM(N47:N50)</f>
        <v>0</v>
      </c>
      <c r="O51" s="31" t="str">
        <f t="shared" si="14"/>
        <v>-</v>
      </c>
      <c r="P51" s="30">
        <f>SUM(P47:P50)</f>
        <v>0</v>
      </c>
      <c r="Q51" s="31" t="str">
        <f t="shared" si="15"/>
        <v>-</v>
      </c>
      <c r="R51" s="30">
        <f>SUM(R47:R50)</f>
        <v>0</v>
      </c>
      <c r="S51" s="31" t="str">
        <f t="shared" si="16"/>
        <v>-</v>
      </c>
      <c r="T51" s="30">
        <f>SUM(T47:T50)</f>
        <v>0</v>
      </c>
      <c r="U51" s="31" t="str">
        <f t="shared" si="17"/>
        <v>-</v>
      </c>
      <c r="V51" s="30">
        <f>SUM(V47:V50)</f>
        <v>0</v>
      </c>
      <c r="W51" s="31" t="str">
        <f t="shared" si="9"/>
        <v>-</v>
      </c>
      <c r="X51" s="30">
        <f>SUM(X47:X50)</f>
        <v>0</v>
      </c>
      <c r="Y51" s="31" t="str">
        <f>IF(OR(X51=0,$D$12=0),"-",X51/$D$12)</f>
        <v>-</v>
      </c>
      <c r="Z51" s="30">
        <f>SUM(Z47:Z50)</f>
        <v>0</v>
      </c>
      <c r="AA51" s="31" t="str">
        <f>IF(OR(Z51=0,$D$12=0),"-",Z51/$D$12)</f>
        <v>-</v>
      </c>
      <c r="AB51" s="30">
        <f>SUM(AB47:AB50)</f>
        <v>0</v>
      </c>
      <c r="AC51" s="31" t="str">
        <f>IF(OR(AB51=0,$AB$12=0),"-",AB51/$AB$12)</f>
        <v>-</v>
      </c>
    </row>
    <row r="52" spans="1:29" s="6" customFormat="1" ht="6.9" customHeight="1" x14ac:dyDescent="0.25">
      <c r="A52" s="27"/>
      <c r="B52" s="42"/>
      <c r="C52" s="42"/>
      <c r="D52" s="30"/>
      <c r="E52" s="28"/>
      <c r="F52" s="30"/>
      <c r="G52" s="28"/>
      <c r="H52" s="30"/>
      <c r="I52" s="28"/>
      <c r="J52" s="30"/>
      <c r="K52" s="28"/>
      <c r="L52" s="30"/>
      <c r="M52" s="28"/>
      <c r="N52" s="30"/>
      <c r="O52" s="28"/>
      <c r="P52" s="30"/>
      <c r="Q52" s="28"/>
      <c r="R52" s="30"/>
      <c r="S52" s="28"/>
      <c r="T52" s="30"/>
      <c r="U52" s="28"/>
      <c r="V52" s="30"/>
      <c r="W52" s="28"/>
      <c r="X52" s="30"/>
      <c r="Y52" s="28"/>
      <c r="Z52" s="30"/>
      <c r="AA52" s="28"/>
      <c r="AB52" s="30"/>
      <c r="AC52" s="28"/>
    </row>
    <row r="53" spans="1:29" s="6" customFormat="1" ht="18" customHeight="1" x14ac:dyDescent="0.25">
      <c r="A53" s="27"/>
      <c r="B53" s="43" t="s">
        <v>57</v>
      </c>
      <c r="C53" s="41"/>
      <c r="D53" s="30"/>
      <c r="E53" s="28"/>
      <c r="F53" s="30"/>
      <c r="G53" s="28"/>
      <c r="H53" s="30"/>
      <c r="I53" s="28"/>
      <c r="J53" s="30"/>
      <c r="K53" s="28"/>
      <c r="L53" s="30"/>
      <c r="M53" s="28"/>
      <c r="N53" s="30"/>
      <c r="O53" s="28"/>
      <c r="P53" s="30"/>
      <c r="Q53" s="28"/>
      <c r="R53" s="30"/>
      <c r="S53" s="28"/>
      <c r="T53" s="30"/>
      <c r="U53" s="28"/>
      <c r="V53" s="30"/>
      <c r="W53" s="28"/>
      <c r="X53" s="30"/>
      <c r="Y53" s="28"/>
      <c r="Z53" s="30"/>
      <c r="AA53" s="28"/>
      <c r="AB53" s="30"/>
      <c r="AC53" s="28"/>
    </row>
    <row r="54" spans="1:29" s="6" customFormat="1" ht="18" customHeight="1" x14ac:dyDescent="0.25">
      <c r="A54" s="27"/>
      <c r="B54" s="32" t="s">
        <v>12</v>
      </c>
      <c r="C54" s="29"/>
      <c r="D54" s="33"/>
      <c r="E54" s="31" t="str">
        <f t="shared" ref="E54:W69" si="18">IF(OR(D54=0,$D$12=0),"-",D54/$D$12)</f>
        <v>-</v>
      </c>
      <c r="F54" s="33"/>
      <c r="G54" s="31" t="str">
        <f t="shared" ref="G54:G69" si="19">IF(OR(F54=0,$D$12=0),"-",F54/$D$12)</f>
        <v>-</v>
      </c>
      <c r="H54" s="33"/>
      <c r="I54" s="31" t="str">
        <f t="shared" ref="I54:I69" si="20">IF(OR(H54=0,$D$12=0),"-",H54/$D$12)</f>
        <v>-</v>
      </c>
      <c r="J54" s="33"/>
      <c r="K54" s="31" t="str">
        <f t="shared" ref="K54:K69" si="21">IF(OR(J54=0,$D$12=0),"-",J54/$D$12)</f>
        <v>-</v>
      </c>
      <c r="L54" s="33"/>
      <c r="M54" s="31" t="str">
        <f t="shared" ref="M54:M69" si="22">IF(OR(L54=0,$D$12=0),"-",L54/$D$12)</f>
        <v>-</v>
      </c>
      <c r="N54" s="33"/>
      <c r="O54" s="31" t="str">
        <f t="shared" ref="O54:O69" si="23">IF(OR(N54=0,$D$12=0),"-",N54/$D$12)</f>
        <v>-</v>
      </c>
      <c r="P54" s="33"/>
      <c r="Q54" s="31" t="str">
        <f t="shared" ref="Q54:Q69" si="24">IF(OR(P54=0,$D$12=0),"-",P54/$D$12)</f>
        <v>-</v>
      </c>
      <c r="R54" s="33"/>
      <c r="S54" s="31" t="str">
        <f t="shared" ref="S54:S69" si="25">IF(OR(R54=0,$D$12=0),"-",R54/$D$12)</f>
        <v>-</v>
      </c>
      <c r="T54" s="33"/>
      <c r="U54" s="31" t="str">
        <f t="shared" ref="U54:U69" si="26">IF(OR(T54=0,$D$12=0),"-",T54/$D$12)</f>
        <v>-</v>
      </c>
      <c r="V54" s="33"/>
      <c r="W54" s="31" t="str">
        <f t="shared" si="18"/>
        <v>-</v>
      </c>
      <c r="X54" s="33"/>
      <c r="Y54" s="31" t="str">
        <f t="shared" ref="Y54:Y70" si="27">IF(OR(X54=0,$D$12=0),"-",X54/$D$12)</f>
        <v>-</v>
      </c>
      <c r="Z54" s="33"/>
      <c r="AA54" s="31" t="str">
        <f t="shared" ref="AA54:AA70" si="28">IF(OR(Z54=0,$D$12=0),"-",Z54/$D$12)</f>
        <v>-</v>
      </c>
      <c r="AB54" s="30"/>
      <c r="AC54" s="31" t="str">
        <f t="shared" ref="AC54:AC69" si="29">IF(OR(AB54=0,$AB$12=0),"-",AB54/$AB$12)</f>
        <v>-</v>
      </c>
    </row>
    <row r="55" spans="1:29" s="6" customFormat="1" ht="18" customHeight="1" x14ac:dyDescent="0.25">
      <c r="A55" s="27"/>
      <c r="B55" s="32" t="s">
        <v>13</v>
      </c>
      <c r="C55" s="29"/>
      <c r="D55" s="33"/>
      <c r="E55" s="31" t="str">
        <f t="shared" si="18"/>
        <v>-</v>
      </c>
      <c r="F55" s="33"/>
      <c r="G55" s="31" t="str">
        <f t="shared" si="19"/>
        <v>-</v>
      </c>
      <c r="H55" s="33"/>
      <c r="I55" s="31" t="str">
        <f t="shared" si="20"/>
        <v>-</v>
      </c>
      <c r="J55" s="33"/>
      <c r="K55" s="31" t="str">
        <f t="shared" si="21"/>
        <v>-</v>
      </c>
      <c r="L55" s="33"/>
      <c r="M55" s="31" t="str">
        <f t="shared" si="22"/>
        <v>-</v>
      </c>
      <c r="N55" s="33"/>
      <c r="O55" s="31" t="str">
        <f t="shared" si="23"/>
        <v>-</v>
      </c>
      <c r="P55" s="33"/>
      <c r="Q55" s="31" t="str">
        <f t="shared" si="24"/>
        <v>-</v>
      </c>
      <c r="R55" s="33"/>
      <c r="S55" s="31" t="str">
        <f t="shared" si="25"/>
        <v>-</v>
      </c>
      <c r="T55" s="33"/>
      <c r="U55" s="31" t="str">
        <f t="shared" si="26"/>
        <v>-</v>
      </c>
      <c r="V55" s="33"/>
      <c r="W55" s="31" t="str">
        <f t="shared" si="18"/>
        <v>-</v>
      </c>
      <c r="X55" s="33"/>
      <c r="Y55" s="31" t="str">
        <f t="shared" si="27"/>
        <v>-</v>
      </c>
      <c r="Z55" s="33"/>
      <c r="AA55" s="31" t="str">
        <f t="shared" si="28"/>
        <v>-</v>
      </c>
      <c r="AB55" s="30"/>
      <c r="AC55" s="31" t="str">
        <f t="shared" si="29"/>
        <v>-</v>
      </c>
    </row>
    <row r="56" spans="1:29" s="6" customFormat="1" ht="18" customHeight="1" x14ac:dyDescent="0.25">
      <c r="A56" s="27"/>
      <c r="B56" s="32" t="s">
        <v>14</v>
      </c>
      <c r="C56" s="29"/>
      <c r="D56" s="33"/>
      <c r="E56" s="31" t="str">
        <f t="shared" si="18"/>
        <v>-</v>
      </c>
      <c r="F56" s="33"/>
      <c r="G56" s="31" t="str">
        <f t="shared" si="19"/>
        <v>-</v>
      </c>
      <c r="H56" s="33"/>
      <c r="I56" s="31" t="str">
        <f t="shared" si="20"/>
        <v>-</v>
      </c>
      <c r="J56" s="33"/>
      <c r="K56" s="31" t="str">
        <f t="shared" si="21"/>
        <v>-</v>
      </c>
      <c r="L56" s="33"/>
      <c r="M56" s="31" t="str">
        <f t="shared" si="22"/>
        <v>-</v>
      </c>
      <c r="N56" s="33"/>
      <c r="O56" s="31" t="str">
        <f t="shared" si="23"/>
        <v>-</v>
      </c>
      <c r="P56" s="33"/>
      <c r="Q56" s="31" t="str">
        <f t="shared" si="24"/>
        <v>-</v>
      </c>
      <c r="R56" s="33"/>
      <c r="S56" s="31" t="str">
        <f t="shared" si="25"/>
        <v>-</v>
      </c>
      <c r="T56" s="33"/>
      <c r="U56" s="31" t="str">
        <f t="shared" si="26"/>
        <v>-</v>
      </c>
      <c r="V56" s="33"/>
      <c r="W56" s="31" t="str">
        <f t="shared" si="18"/>
        <v>-</v>
      </c>
      <c r="X56" s="33"/>
      <c r="Y56" s="31" t="str">
        <f t="shared" si="27"/>
        <v>-</v>
      </c>
      <c r="Z56" s="33"/>
      <c r="AA56" s="31" t="str">
        <f t="shared" si="28"/>
        <v>-</v>
      </c>
      <c r="AB56" s="30"/>
      <c r="AC56" s="31" t="str">
        <f t="shared" si="29"/>
        <v>-</v>
      </c>
    </row>
    <row r="57" spans="1:29" s="6" customFormat="1" ht="18" customHeight="1" x14ac:dyDescent="0.25">
      <c r="A57" s="27"/>
      <c r="B57" s="32" t="s">
        <v>15</v>
      </c>
      <c r="C57" s="29"/>
      <c r="D57" s="33"/>
      <c r="E57" s="31" t="str">
        <f t="shared" si="18"/>
        <v>-</v>
      </c>
      <c r="F57" s="33"/>
      <c r="G57" s="31" t="str">
        <f t="shared" si="19"/>
        <v>-</v>
      </c>
      <c r="H57" s="33"/>
      <c r="I57" s="31" t="str">
        <f t="shared" si="20"/>
        <v>-</v>
      </c>
      <c r="J57" s="33"/>
      <c r="K57" s="31" t="str">
        <f t="shared" si="21"/>
        <v>-</v>
      </c>
      <c r="L57" s="33"/>
      <c r="M57" s="31" t="str">
        <f t="shared" si="22"/>
        <v>-</v>
      </c>
      <c r="N57" s="33"/>
      <c r="O57" s="31" t="str">
        <f t="shared" si="23"/>
        <v>-</v>
      </c>
      <c r="P57" s="33"/>
      <c r="Q57" s="31" t="str">
        <f t="shared" si="24"/>
        <v>-</v>
      </c>
      <c r="R57" s="33"/>
      <c r="S57" s="31" t="str">
        <f t="shared" si="25"/>
        <v>-</v>
      </c>
      <c r="T57" s="33"/>
      <c r="U57" s="31" t="str">
        <f t="shared" si="26"/>
        <v>-</v>
      </c>
      <c r="V57" s="33"/>
      <c r="W57" s="31" t="str">
        <f t="shared" si="18"/>
        <v>-</v>
      </c>
      <c r="X57" s="33"/>
      <c r="Y57" s="31" t="str">
        <f t="shared" si="27"/>
        <v>-</v>
      </c>
      <c r="Z57" s="33"/>
      <c r="AA57" s="31" t="str">
        <f t="shared" si="28"/>
        <v>-</v>
      </c>
      <c r="AB57" s="30"/>
      <c r="AC57" s="31" t="str">
        <f t="shared" si="29"/>
        <v>-</v>
      </c>
    </row>
    <row r="58" spans="1:29" s="6" customFormat="1" ht="18" customHeight="1" x14ac:dyDescent="0.25">
      <c r="A58" s="27"/>
      <c r="B58" s="32" t="s">
        <v>16</v>
      </c>
      <c r="C58" s="29"/>
      <c r="D58" s="33"/>
      <c r="E58" s="31" t="str">
        <f t="shared" si="18"/>
        <v>-</v>
      </c>
      <c r="F58" s="33"/>
      <c r="G58" s="31" t="str">
        <f t="shared" si="19"/>
        <v>-</v>
      </c>
      <c r="H58" s="33"/>
      <c r="I58" s="31" t="str">
        <f t="shared" si="20"/>
        <v>-</v>
      </c>
      <c r="J58" s="33"/>
      <c r="K58" s="31" t="str">
        <f t="shared" si="21"/>
        <v>-</v>
      </c>
      <c r="L58" s="33"/>
      <c r="M58" s="31" t="str">
        <f t="shared" si="22"/>
        <v>-</v>
      </c>
      <c r="N58" s="33"/>
      <c r="O58" s="31" t="str">
        <f t="shared" si="23"/>
        <v>-</v>
      </c>
      <c r="P58" s="33"/>
      <c r="Q58" s="31" t="str">
        <f t="shared" si="24"/>
        <v>-</v>
      </c>
      <c r="R58" s="33"/>
      <c r="S58" s="31" t="str">
        <f t="shared" si="25"/>
        <v>-</v>
      </c>
      <c r="T58" s="33"/>
      <c r="U58" s="31" t="str">
        <f t="shared" si="26"/>
        <v>-</v>
      </c>
      <c r="V58" s="33"/>
      <c r="W58" s="31" t="str">
        <f t="shared" si="18"/>
        <v>-</v>
      </c>
      <c r="X58" s="33"/>
      <c r="Y58" s="31" t="str">
        <f t="shared" si="27"/>
        <v>-</v>
      </c>
      <c r="Z58" s="33"/>
      <c r="AA58" s="31" t="str">
        <f t="shared" si="28"/>
        <v>-</v>
      </c>
      <c r="AB58" s="30"/>
      <c r="AC58" s="31" t="str">
        <f t="shared" si="29"/>
        <v>-</v>
      </c>
    </row>
    <row r="59" spans="1:29" s="6" customFormat="1" ht="18" customHeight="1" x14ac:dyDescent="0.25">
      <c r="A59" s="27"/>
      <c r="B59" s="32" t="s">
        <v>17</v>
      </c>
      <c r="C59" s="29"/>
      <c r="D59" s="33"/>
      <c r="E59" s="31" t="str">
        <f t="shared" si="18"/>
        <v>-</v>
      </c>
      <c r="F59" s="33"/>
      <c r="G59" s="31" t="str">
        <f t="shared" si="19"/>
        <v>-</v>
      </c>
      <c r="H59" s="33"/>
      <c r="I59" s="31" t="str">
        <f t="shared" si="20"/>
        <v>-</v>
      </c>
      <c r="J59" s="33"/>
      <c r="K59" s="31" t="str">
        <f t="shared" si="21"/>
        <v>-</v>
      </c>
      <c r="L59" s="33"/>
      <c r="M59" s="31" t="str">
        <f t="shared" si="22"/>
        <v>-</v>
      </c>
      <c r="N59" s="33"/>
      <c r="O59" s="31" t="str">
        <f t="shared" si="23"/>
        <v>-</v>
      </c>
      <c r="P59" s="33"/>
      <c r="Q59" s="31" t="str">
        <f t="shared" si="24"/>
        <v>-</v>
      </c>
      <c r="R59" s="33"/>
      <c r="S59" s="31" t="str">
        <f t="shared" si="25"/>
        <v>-</v>
      </c>
      <c r="T59" s="33"/>
      <c r="U59" s="31" t="str">
        <f t="shared" si="26"/>
        <v>-</v>
      </c>
      <c r="V59" s="33"/>
      <c r="W59" s="31" t="str">
        <f t="shared" si="18"/>
        <v>-</v>
      </c>
      <c r="X59" s="33"/>
      <c r="Y59" s="31" t="str">
        <f t="shared" si="27"/>
        <v>-</v>
      </c>
      <c r="Z59" s="33"/>
      <c r="AA59" s="31" t="str">
        <f t="shared" si="28"/>
        <v>-</v>
      </c>
      <c r="AB59" s="30"/>
      <c r="AC59" s="31" t="str">
        <f t="shared" si="29"/>
        <v>-</v>
      </c>
    </row>
    <row r="60" spans="1:29" s="6" customFormat="1" ht="18" customHeight="1" x14ac:dyDescent="0.25">
      <c r="A60" s="27"/>
      <c r="B60" s="32" t="s">
        <v>18</v>
      </c>
      <c r="C60" s="29"/>
      <c r="D60" s="33"/>
      <c r="E60" s="31" t="str">
        <f t="shared" si="18"/>
        <v>-</v>
      </c>
      <c r="F60" s="33"/>
      <c r="G60" s="31" t="str">
        <f t="shared" si="19"/>
        <v>-</v>
      </c>
      <c r="H60" s="33"/>
      <c r="I60" s="31" t="str">
        <f t="shared" si="20"/>
        <v>-</v>
      </c>
      <c r="J60" s="33"/>
      <c r="K60" s="31" t="str">
        <f t="shared" si="21"/>
        <v>-</v>
      </c>
      <c r="L60" s="33"/>
      <c r="M60" s="31" t="str">
        <f t="shared" si="22"/>
        <v>-</v>
      </c>
      <c r="N60" s="33"/>
      <c r="O60" s="31" t="str">
        <f t="shared" si="23"/>
        <v>-</v>
      </c>
      <c r="P60" s="33"/>
      <c r="Q60" s="31" t="str">
        <f t="shared" si="24"/>
        <v>-</v>
      </c>
      <c r="R60" s="33"/>
      <c r="S60" s="31" t="str">
        <f t="shared" si="25"/>
        <v>-</v>
      </c>
      <c r="T60" s="33"/>
      <c r="U60" s="31" t="str">
        <f t="shared" si="26"/>
        <v>-</v>
      </c>
      <c r="V60" s="33"/>
      <c r="W60" s="31" t="str">
        <f t="shared" si="18"/>
        <v>-</v>
      </c>
      <c r="X60" s="33"/>
      <c r="Y60" s="31" t="str">
        <f t="shared" si="27"/>
        <v>-</v>
      </c>
      <c r="Z60" s="33"/>
      <c r="AA60" s="31" t="str">
        <f t="shared" si="28"/>
        <v>-</v>
      </c>
      <c r="AB60" s="30"/>
      <c r="AC60" s="31" t="str">
        <f t="shared" si="29"/>
        <v>-</v>
      </c>
    </row>
    <row r="61" spans="1:29" s="6" customFormat="1" ht="18" customHeight="1" x14ac:dyDescent="0.25">
      <c r="A61" s="27"/>
      <c r="B61" s="32" t="s">
        <v>19</v>
      </c>
      <c r="C61" s="29"/>
      <c r="D61" s="33"/>
      <c r="E61" s="31" t="str">
        <f t="shared" si="18"/>
        <v>-</v>
      </c>
      <c r="F61" s="33"/>
      <c r="G61" s="31" t="str">
        <f t="shared" si="19"/>
        <v>-</v>
      </c>
      <c r="H61" s="33"/>
      <c r="I61" s="31" t="str">
        <f t="shared" si="20"/>
        <v>-</v>
      </c>
      <c r="J61" s="33"/>
      <c r="K61" s="31" t="str">
        <f t="shared" si="21"/>
        <v>-</v>
      </c>
      <c r="L61" s="33"/>
      <c r="M61" s="31" t="str">
        <f t="shared" si="22"/>
        <v>-</v>
      </c>
      <c r="N61" s="33"/>
      <c r="O61" s="31" t="str">
        <f t="shared" si="23"/>
        <v>-</v>
      </c>
      <c r="P61" s="33"/>
      <c r="Q61" s="31" t="str">
        <f t="shared" si="24"/>
        <v>-</v>
      </c>
      <c r="R61" s="33"/>
      <c r="S61" s="31" t="str">
        <f t="shared" si="25"/>
        <v>-</v>
      </c>
      <c r="T61" s="33"/>
      <c r="U61" s="31" t="str">
        <f t="shared" si="26"/>
        <v>-</v>
      </c>
      <c r="V61" s="33"/>
      <c r="W61" s="31" t="str">
        <f t="shared" si="18"/>
        <v>-</v>
      </c>
      <c r="X61" s="33"/>
      <c r="Y61" s="31" t="str">
        <f t="shared" si="27"/>
        <v>-</v>
      </c>
      <c r="Z61" s="33"/>
      <c r="AA61" s="31" t="str">
        <f t="shared" si="28"/>
        <v>-</v>
      </c>
      <c r="AB61" s="30"/>
      <c r="AC61" s="31" t="str">
        <f t="shared" si="29"/>
        <v>-</v>
      </c>
    </row>
    <row r="62" spans="1:29" s="6" customFormat="1" ht="18" customHeight="1" x14ac:dyDescent="0.25">
      <c r="A62" s="27"/>
      <c r="B62" s="32" t="s">
        <v>20</v>
      </c>
      <c r="C62" s="29"/>
      <c r="D62" s="33"/>
      <c r="E62" s="31" t="str">
        <f t="shared" si="18"/>
        <v>-</v>
      </c>
      <c r="F62" s="33"/>
      <c r="G62" s="31" t="str">
        <f t="shared" si="19"/>
        <v>-</v>
      </c>
      <c r="H62" s="33"/>
      <c r="I62" s="31" t="str">
        <f t="shared" si="20"/>
        <v>-</v>
      </c>
      <c r="J62" s="33"/>
      <c r="K62" s="31" t="str">
        <f t="shared" si="21"/>
        <v>-</v>
      </c>
      <c r="L62" s="33"/>
      <c r="M62" s="31" t="str">
        <f t="shared" si="22"/>
        <v>-</v>
      </c>
      <c r="N62" s="33"/>
      <c r="O62" s="31" t="str">
        <f t="shared" si="23"/>
        <v>-</v>
      </c>
      <c r="P62" s="33"/>
      <c r="Q62" s="31" t="str">
        <f t="shared" si="24"/>
        <v>-</v>
      </c>
      <c r="R62" s="33"/>
      <c r="S62" s="31" t="str">
        <f t="shared" si="25"/>
        <v>-</v>
      </c>
      <c r="T62" s="33"/>
      <c r="U62" s="31" t="str">
        <f t="shared" si="26"/>
        <v>-</v>
      </c>
      <c r="V62" s="33"/>
      <c r="W62" s="31" t="str">
        <f t="shared" si="18"/>
        <v>-</v>
      </c>
      <c r="X62" s="33"/>
      <c r="Y62" s="31" t="str">
        <f t="shared" si="27"/>
        <v>-</v>
      </c>
      <c r="Z62" s="33"/>
      <c r="AA62" s="31" t="str">
        <f t="shared" si="28"/>
        <v>-</v>
      </c>
      <c r="AB62" s="30"/>
      <c r="AC62" s="31" t="str">
        <f t="shared" si="29"/>
        <v>-</v>
      </c>
    </row>
    <row r="63" spans="1:29" s="6" customFormat="1" ht="18" customHeight="1" x14ac:dyDescent="0.25">
      <c r="A63" s="27"/>
      <c r="B63" s="32" t="s">
        <v>21</v>
      </c>
      <c r="C63" s="29"/>
      <c r="D63" s="33"/>
      <c r="E63" s="31" t="str">
        <f t="shared" si="18"/>
        <v>-</v>
      </c>
      <c r="F63" s="33"/>
      <c r="G63" s="31" t="str">
        <f t="shared" si="19"/>
        <v>-</v>
      </c>
      <c r="H63" s="33"/>
      <c r="I63" s="31" t="str">
        <f t="shared" si="20"/>
        <v>-</v>
      </c>
      <c r="J63" s="33"/>
      <c r="K63" s="31" t="str">
        <f t="shared" si="21"/>
        <v>-</v>
      </c>
      <c r="L63" s="33"/>
      <c r="M63" s="31" t="str">
        <f t="shared" si="22"/>
        <v>-</v>
      </c>
      <c r="N63" s="33"/>
      <c r="O63" s="31" t="str">
        <f t="shared" si="23"/>
        <v>-</v>
      </c>
      <c r="P63" s="33"/>
      <c r="Q63" s="31" t="str">
        <f t="shared" si="24"/>
        <v>-</v>
      </c>
      <c r="R63" s="33"/>
      <c r="S63" s="31" t="str">
        <f t="shared" si="25"/>
        <v>-</v>
      </c>
      <c r="T63" s="33"/>
      <c r="U63" s="31" t="str">
        <f t="shared" si="26"/>
        <v>-</v>
      </c>
      <c r="V63" s="33"/>
      <c r="W63" s="31" t="str">
        <f t="shared" si="18"/>
        <v>-</v>
      </c>
      <c r="X63" s="33"/>
      <c r="Y63" s="31" t="str">
        <f t="shared" si="27"/>
        <v>-</v>
      </c>
      <c r="Z63" s="33"/>
      <c r="AA63" s="31" t="str">
        <f t="shared" si="28"/>
        <v>-</v>
      </c>
      <c r="AB63" s="30"/>
      <c r="AC63" s="31" t="str">
        <f t="shared" si="29"/>
        <v>-</v>
      </c>
    </row>
    <row r="64" spans="1:29" s="6" customFormat="1" ht="18" customHeight="1" x14ac:dyDescent="0.25">
      <c r="A64" s="27"/>
      <c r="B64" s="32" t="s">
        <v>36</v>
      </c>
      <c r="C64" s="29"/>
      <c r="D64" s="33"/>
      <c r="E64" s="31" t="str">
        <f t="shared" si="18"/>
        <v>-</v>
      </c>
      <c r="F64" s="33"/>
      <c r="G64" s="31" t="str">
        <f t="shared" si="19"/>
        <v>-</v>
      </c>
      <c r="H64" s="33"/>
      <c r="I64" s="31" t="str">
        <f t="shared" si="20"/>
        <v>-</v>
      </c>
      <c r="J64" s="33"/>
      <c r="K64" s="31" t="str">
        <f t="shared" si="21"/>
        <v>-</v>
      </c>
      <c r="L64" s="33"/>
      <c r="M64" s="31" t="str">
        <f t="shared" si="22"/>
        <v>-</v>
      </c>
      <c r="N64" s="33"/>
      <c r="O64" s="31" t="str">
        <f t="shared" si="23"/>
        <v>-</v>
      </c>
      <c r="P64" s="33"/>
      <c r="Q64" s="31" t="str">
        <f t="shared" si="24"/>
        <v>-</v>
      </c>
      <c r="R64" s="33"/>
      <c r="S64" s="31" t="str">
        <f t="shared" si="25"/>
        <v>-</v>
      </c>
      <c r="T64" s="33"/>
      <c r="U64" s="31" t="str">
        <f t="shared" si="26"/>
        <v>-</v>
      </c>
      <c r="V64" s="33"/>
      <c r="W64" s="31" t="str">
        <f t="shared" si="18"/>
        <v>-</v>
      </c>
      <c r="X64" s="33"/>
      <c r="Y64" s="31" t="str">
        <f t="shared" si="27"/>
        <v>-</v>
      </c>
      <c r="Z64" s="33"/>
      <c r="AA64" s="31" t="str">
        <f t="shared" si="28"/>
        <v>-</v>
      </c>
      <c r="AB64" s="30"/>
      <c r="AC64" s="31" t="str">
        <f t="shared" si="29"/>
        <v>-</v>
      </c>
    </row>
    <row r="65" spans="1:29" s="6" customFormat="1" ht="18" customHeight="1" x14ac:dyDescent="0.25">
      <c r="A65" s="27"/>
      <c r="B65" s="32" t="s">
        <v>34</v>
      </c>
      <c r="C65" s="29"/>
      <c r="D65" s="33"/>
      <c r="E65" s="31" t="str">
        <f t="shared" si="18"/>
        <v>-</v>
      </c>
      <c r="F65" s="33"/>
      <c r="G65" s="31" t="str">
        <f t="shared" si="19"/>
        <v>-</v>
      </c>
      <c r="H65" s="33"/>
      <c r="I65" s="31" t="str">
        <f t="shared" si="20"/>
        <v>-</v>
      </c>
      <c r="J65" s="33"/>
      <c r="K65" s="31" t="str">
        <f t="shared" si="21"/>
        <v>-</v>
      </c>
      <c r="L65" s="33"/>
      <c r="M65" s="31" t="str">
        <f t="shared" si="22"/>
        <v>-</v>
      </c>
      <c r="N65" s="33"/>
      <c r="O65" s="31" t="str">
        <f t="shared" si="23"/>
        <v>-</v>
      </c>
      <c r="P65" s="33"/>
      <c r="Q65" s="31" t="str">
        <f t="shared" si="24"/>
        <v>-</v>
      </c>
      <c r="R65" s="33"/>
      <c r="S65" s="31" t="str">
        <f t="shared" si="25"/>
        <v>-</v>
      </c>
      <c r="T65" s="33"/>
      <c r="U65" s="31" t="str">
        <f t="shared" si="26"/>
        <v>-</v>
      </c>
      <c r="V65" s="33"/>
      <c r="W65" s="31" t="str">
        <f t="shared" si="18"/>
        <v>-</v>
      </c>
      <c r="X65" s="33"/>
      <c r="Y65" s="31" t="str">
        <f t="shared" si="27"/>
        <v>-</v>
      </c>
      <c r="Z65" s="33"/>
      <c r="AA65" s="31" t="str">
        <f t="shared" si="28"/>
        <v>-</v>
      </c>
      <c r="AB65" s="30"/>
      <c r="AC65" s="31" t="str">
        <f t="shared" si="29"/>
        <v>-</v>
      </c>
    </row>
    <row r="66" spans="1:29" s="6" customFormat="1" ht="18" customHeight="1" x14ac:dyDescent="0.25">
      <c r="A66" s="27"/>
      <c r="B66" s="32" t="s">
        <v>35</v>
      </c>
      <c r="C66" s="29"/>
      <c r="D66" s="33"/>
      <c r="E66" s="31" t="str">
        <f t="shared" si="18"/>
        <v>-</v>
      </c>
      <c r="F66" s="33"/>
      <c r="G66" s="31" t="str">
        <f t="shared" si="19"/>
        <v>-</v>
      </c>
      <c r="H66" s="33"/>
      <c r="I66" s="31" t="str">
        <f t="shared" si="20"/>
        <v>-</v>
      </c>
      <c r="J66" s="33"/>
      <c r="K66" s="31" t="str">
        <f t="shared" si="21"/>
        <v>-</v>
      </c>
      <c r="L66" s="33"/>
      <c r="M66" s="31" t="str">
        <f t="shared" si="22"/>
        <v>-</v>
      </c>
      <c r="N66" s="33"/>
      <c r="O66" s="31" t="str">
        <f t="shared" si="23"/>
        <v>-</v>
      </c>
      <c r="P66" s="33"/>
      <c r="Q66" s="31" t="str">
        <f t="shared" si="24"/>
        <v>-</v>
      </c>
      <c r="R66" s="33"/>
      <c r="S66" s="31" t="str">
        <f t="shared" si="25"/>
        <v>-</v>
      </c>
      <c r="T66" s="33"/>
      <c r="U66" s="31" t="str">
        <f t="shared" si="26"/>
        <v>-</v>
      </c>
      <c r="V66" s="33"/>
      <c r="W66" s="31" t="str">
        <f t="shared" si="18"/>
        <v>-</v>
      </c>
      <c r="X66" s="33"/>
      <c r="Y66" s="31" t="str">
        <f t="shared" si="27"/>
        <v>-</v>
      </c>
      <c r="Z66" s="33"/>
      <c r="AA66" s="31" t="str">
        <f t="shared" si="28"/>
        <v>-</v>
      </c>
      <c r="AB66" s="30"/>
      <c r="AC66" s="31" t="str">
        <f t="shared" si="29"/>
        <v>-</v>
      </c>
    </row>
    <row r="67" spans="1:29" s="6" customFormat="1" ht="18" customHeight="1" x14ac:dyDescent="0.25">
      <c r="A67" s="27"/>
      <c r="B67" s="32" t="s">
        <v>9</v>
      </c>
      <c r="C67" s="29"/>
      <c r="D67" s="33"/>
      <c r="E67" s="31" t="str">
        <f t="shared" si="18"/>
        <v>-</v>
      </c>
      <c r="F67" s="33"/>
      <c r="G67" s="31" t="str">
        <f t="shared" si="19"/>
        <v>-</v>
      </c>
      <c r="H67" s="33"/>
      <c r="I67" s="31" t="str">
        <f t="shared" si="20"/>
        <v>-</v>
      </c>
      <c r="J67" s="33"/>
      <c r="K67" s="31" t="str">
        <f t="shared" si="21"/>
        <v>-</v>
      </c>
      <c r="L67" s="33"/>
      <c r="M67" s="31" t="str">
        <f t="shared" si="22"/>
        <v>-</v>
      </c>
      <c r="N67" s="33"/>
      <c r="O67" s="31" t="str">
        <f t="shared" si="23"/>
        <v>-</v>
      </c>
      <c r="P67" s="33"/>
      <c r="Q67" s="31" t="str">
        <f t="shared" si="24"/>
        <v>-</v>
      </c>
      <c r="R67" s="33"/>
      <c r="S67" s="31" t="str">
        <f t="shared" si="25"/>
        <v>-</v>
      </c>
      <c r="T67" s="33"/>
      <c r="U67" s="31" t="str">
        <f t="shared" si="26"/>
        <v>-</v>
      </c>
      <c r="V67" s="33"/>
      <c r="W67" s="31" t="str">
        <f t="shared" si="18"/>
        <v>-</v>
      </c>
      <c r="X67" s="33"/>
      <c r="Y67" s="31" t="str">
        <f t="shared" si="27"/>
        <v>-</v>
      </c>
      <c r="Z67" s="33"/>
      <c r="AA67" s="31" t="str">
        <f t="shared" si="28"/>
        <v>-</v>
      </c>
      <c r="AB67" s="30"/>
      <c r="AC67" s="31" t="str">
        <f t="shared" si="29"/>
        <v>-</v>
      </c>
    </row>
    <row r="68" spans="1:29" s="6" customFormat="1" ht="18" customHeight="1" x14ac:dyDescent="0.25">
      <c r="A68" s="27"/>
      <c r="B68" s="32" t="s">
        <v>9</v>
      </c>
      <c r="C68" s="29"/>
      <c r="D68" s="33"/>
      <c r="E68" s="31" t="str">
        <f t="shared" si="18"/>
        <v>-</v>
      </c>
      <c r="F68" s="33"/>
      <c r="G68" s="31" t="str">
        <f t="shared" si="19"/>
        <v>-</v>
      </c>
      <c r="H68" s="33"/>
      <c r="I68" s="31" t="str">
        <f t="shared" si="20"/>
        <v>-</v>
      </c>
      <c r="J68" s="33"/>
      <c r="K68" s="31" t="str">
        <f t="shared" si="21"/>
        <v>-</v>
      </c>
      <c r="L68" s="33"/>
      <c r="M68" s="31" t="str">
        <f t="shared" si="22"/>
        <v>-</v>
      </c>
      <c r="N68" s="33"/>
      <c r="O68" s="31" t="str">
        <f t="shared" si="23"/>
        <v>-</v>
      </c>
      <c r="P68" s="33"/>
      <c r="Q68" s="31" t="str">
        <f t="shared" si="24"/>
        <v>-</v>
      </c>
      <c r="R68" s="33"/>
      <c r="S68" s="31" t="str">
        <f t="shared" si="25"/>
        <v>-</v>
      </c>
      <c r="T68" s="33"/>
      <c r="U68" s="31" t="str">
        <f t="shared" si="26"/>
        <v>-</v>
      </c>
      <c r="V68" s="33"/>
      <c r="W68" s="31" t="str">
        <f t="shared" si="18"/>
        <v>-</v>
      </c>
      <c r="X68" s="33"/>
      <c r="Y68" s="31" t="str">
        <f t="shared" si="27"/>
        <v>-</v>
      </c>
      <c r="Z68" s="33"/>
      <c r="AA68" s="31" t="str">
        <f t="shared" si="28"/>
        <v>-</v>
      </c>
      <c r="AB68" s="30"/>
      <c r="AC68" s="31" t="str">
        <f t="shared" si="29"/>
        <v>-</v>
      </c>
    </row>
    <row r="69" spans="1:29" s="6" customFormat="1" ht="18" customHeight="1" x14ac:dyDescent="0.25">
      <c r="A69" s="27"/>
      <c r="B69" s="43" t="s">
        <v>51</v>
      </c>
      <c r="C69" s="41"/>
      <c r="D69" s="30">
        <f>SUM(D54:D68)</f>
        <v>0</v>
      </c>
      <c r="E69" s="31" t="str">
        <f t="shared" si="18"/>
        <v>-</v>
      </c>
      <c r="F69" s="30">
        <f>SUM(F54:F68)</f>
        <v>0</v>
      </c>
      <c r="G69" s="31" t="str">
        <f t="shared" si="19"/>
        <v>-</v>
      </c>
      <c r="H69" s="30">
        <f>SUM(H54:H68)</f>
        <v>0</v>
      </c>
      <c r="I69" s="31" t="str">
        <f t="shared" si="20"/>
        <v>-</v>
      </c>
      <c r="J69" s="30">
        <f>SUM(J54:J68)</f>
        <v>0</v>
      </c>
      <c r="K69" s="31" t="str">
        <f t="shared" si="21"/>
        <v>-</v>
      </c>
      <c r="L69" s="30">
        <f>SUM(L54:L68)</f>
        <v>0</v>
      </c>
      <c r="M69" s="31" t="str">
        <f t="shared" si="22"/>
        <v>-</v>
      </c>
      <c r="N69" s="30">
        <f>SUM(N54:N68)</f>
        <v>0</v>
      </c>
      <c r="O69" s="31" t="str">
        <f t="shared" si="23"/>
        <v>-</v>
      </c>
      <c r="P69" s="30">
        <f>SUM(P54:P68)</f>
        <v>0</v>
      </c>
      <c r="Q69" s="31" t="str">
        <f t="shared" si="24"/>
        <v>-</v>
      </c>
      <c r="R69" s="30">
        <f>SUM(R54:R68)</f>
        <v>0</v>
      </c>
      <c r="S69" s="31" t="str">
        <f t="shared" si="25"/>
        <v>-</v>
      </c>
      <c r="T69" s="30">
        <f>SUM(T54:T68)</f>
        <v>0</v>
      </c>
      <c r="U69" s="31" t="str">
        <f t="shared" si="26"/>
        <v>-</v>
      </c>
      <c r="V69" s="30">
        <f>SUM(V54:V68)</f>
        <v>0</v>
      </c>
      <c r="W69" s="31" t="str">
        <f t="shared" si="18"/>
        <v>-</v>
      </c>
      <c r="X69" s="30">
        <f>SUM(X54:X68)</f>
        <v>0</v>
      </c>
      <c r="Y69" s="31" t="str">
        <f t="shared" si="27"/>
        <v>-</v>
      </c>
      <c r="Z69" s="30">
        <f>SUM(Z54:Z68)</f>
        <v>0</v>
      </c>
      <c r="AA69" s="31" t="str">
        <f t="shared" si="28"/>
        <v>-</v>
      </c>
      <c r="AB69" s="30">
        <f>SUM(AB54:AB68)</f>
        <v>0</v>
      </c>
      <c r="AC69" s="31" t="str">
        <f t="shared" si="29"/>
        <v>-</v>
      </c>
    </row>
    <row r="70" spans="1:29" s="6" customFormat="1" ht="18" customHeight="1" x14ac:dyDescent="0.25">
      <c r="A70" s="20"/>
      <c r="B70" s="24" t="s">
        <v>52</v>
      </c>
      <c r="C70" s="24"/>
      <c r="D70" s="25">
        <f>D44+D51+D69</f>
        <v>0</v>
      </c>
      <c r="E70" s="26" t="str">
        <f>IF(OR(D70=0,$D$12=0),"-",D70/$D$12)</f>
        <v>-</v>
      </c>
      <c r="F70" s="25">
        <f>F44+F51+F69</f>
        <v>0</v>
      </c>
      <c r="G70" s="26" t="str">
        <f>IF(OR(F70=0,$D$12=0),"-",F70/$D$12)</f>
        <v>-</v>
      </c>
      <c r="H70" s="25">
        <f>H44+H51+H69</f>
        <v>0</v>
      </c>
      <c r="I70" s="26" t="str">
        <f>IF(OR(H70=0,$D$12=0),"-",H70/$D$12)</f>
        <v>-</v>
      </c>
      <c r="J70" s="25">
        <f>J44+J51+J69</f>
        <v>0</v>
      </c>
      <c r="K70" s="26" t="str">
        <f>IF(OR(J70=0,$D$12=0),"-",J70/$D$12)</f>
        <v>-</v>
      </c>
      <c r="L70" s="25">
        <f>L44+L51+L69</f>
        <v>0</v>
      </c>
      <c r="M70" s="26" t="str">
        <f>IF(OR(L70=0,$D$12=0),"-",L70/$D$12)</f>
        <v>-</v>
      </c>
      <c r="N70" s="25">
        <f>N44+N51+N69</f>
        <v>0</v>
      </c>
      <c r="O70" s="26" t="str">
        <f>IF(OR(N70=0,$D$12=0),"-",N70/$D$12)</f>
        <v>-</v>
      </c>
      <c r="P70" s="25">
        <f>P44+P51+P69</f>
        <v>0</v>
      </c>
      <c r="Q70" s="26" t="str">
        <f>IF(OR(P70=0,$D$12=0),"-",P70/$D$12)</f>
        <v>-</v>
      </c>
      <c r="R70" s="25">
        <f>R44+R51+R69</f>
        <v>0</v>
      </c>
      <c r="S70" s="26" t="str">
        <f>IF(OR(R70=0,$D$12=0),"-",R70/$D$12)</f>
        <v>-</v>
      </c>
      <c r="T70" s="25">
        <f>T44+T51+T69</f>
        <v>0</v>
      </c>
      <c r="U70" s="26" t="str">
        <f>IF(OR(T70=0,$D$12=0),"-",T70/$D$12)</f>
        <v>-</v>
      </c>
      <c r="V70" s="25">
        <f>V44+V51+V69</f>
        <v>0</v>
      </c>
      <c r="W70" s="26" t="str">
        <f>IF(OR(V70=0,$D$12=0),"-",V70/$D$12)</f>
        <v>-</v>
      </c>
      <c r="X70" s="25">
        <f>X44+X51+X69</f>
        <v>0</v>
      </c>
      <c r="Y70" s="26" t="str">
        <f t="shared" si="27"/>
        <v>-</v>
      </c>
      <c r="Z70" s="25">
        <f>Z44+Z51+Z69</f>
        <v>0</v>
      </c>
      <c r="AA70" s="26" t="str">
        <f t="shared" si="28"/>
        <v>-</v>
      </c>
      <c r="AB70" s="25">
        <f>AB44+AB51+AB69</f>
        <v>0</v>
      </c>
      <c r="AC70" s="26" t="str">
        <f>IF(OR(AB70=0,$AB$12=0),"-",AB70/$AB$12)</f>
        <v>-</v>
      </c>
    </row>
    <row r="71" spans="1:29" s="6" customFormat="1" ht="18" customHeight="1" x14ac:dyDescent="0.25">
      <c r="B71" s="17"/>
      <c r="C71" s="17"/>
      <c r="D71" s="13"/>
      <c r="E71" s="12"/>
      <c r="F71" s="13"/>
      <c r="G71" s="12"/>
      <c r="H71" s="13"/>
      <c r="I71" s="12"/>
      <c r="J71" s="13"/>
      <c r="K71" s="12"/>
      <c r="L71" s="13"/>
      <c r="M71" s="12"/>
      <c r="N71" s="13"/>
      <c r="O71" s="12"/>
      <c r="P71" s="13"/>
      <c r="Q71" s="12"/>
      <c r="R71" s="13"/>
      <c r="S71" s="12"/>
      <c r="T71" s="13"/>
      <c r="U71" s="12"/>
      <c r="V71" s="13"/>
      <c r="W71" s="12"/>
      <c r="X71" s="13"/>
      <c r="Y71" s="12"/>
      <c r="Z71" s="13"/>
      <c r="AA71" s="12"/>
      <c r="AB71" s="13"/>
      <c r="AC71" s="12"/>
    </row>
    <row r="72" spans="1:29" s="6" customFormat="1" ht="18" customHeight="1" x14ac:dyDescent="0.25">
      <c r="A72" s="20"/>
      <c r="B72" s="24" t="s">
        <v>43</v>
      </c>
      <c r="C72" s="24"/>
      <c r="D72" s="25"/>
      <c r="E72" s="21"/>
      <c r="F72" s="25"/>
      <c r="G72" s="21"/>
      <c r="H72" s="25"/>
      <c r="I72" s="21"/>
      <c r="J72" s="25"/>
      <c r="K72" s="21"/>
      <c r="L72" s="25"/>
      <c r="M72" s="21"/>
      <c r="N72" s="25"/>
      <c r="O72" s="21"/>
      <c r="P72" s="25"/>
      <c r="Q72" s="21"/>
      <c r="R72" s="25"/>
      <c r="S72" s="21"/>
      <c r="T72" s="25"/>
      <c r="U72" s="21"/>
      <c r="V72" s="25"/>
      <c r="W72" s="21"/>
      <c r="X72" s="25"/>
      <c r="Y72" s="21"/>
      <c r="Z72" s="25"/>
      <c r="AA72" s="21"/>
      <c r="AB72" s="25"/>
      <c r="AC72" s="21"/>
    </row>
    <row r="73" spans="1:29" s="6" customFormat="1" ht="6.9" customHeight="1" x14ac:dyDescent="0.25">
      <c r="A73" s="27"/>
      <c r="B73" s="22"/>
      <c r="C73" s="22"/>
      <c r="D73" s="30"/>
      <c r="E73" s="28"/>
      <c r="F73" s="30"/>
      <c r="G73" s="28"/>
      <c r="H73" s="30"/>
      <c r="I73" s="28"/>
      <c r="J73" s="30"/>
      <c r="K73" s="28"/>
      <c r="L73" s="30"/>
      <c r="M73" s="28"/>
      <c r="N73" s="30"/>
      <c r="O73" s="28"/>
      <c r="P73" s="30"/>
      <c r="Q73" s="28"/>
      <c r="R73" s="30"/>
      <c r="S73" s="28"/>
      <c r="T73" s="30"/>
      <c r="U73" s="28"/>
      <c r="V73" s="30"/>
      <c r="W73" s="28"/>
      <c r="X73" s="30"/>
      <c r="Y73" s="28"/>
      <c r="Z73" s="30"/>
      <c r="AA73" s="28"/>
      <c r="AB73" s="30"/>
      <c r="AC73" s="28"/>
    </row>
    <row r="74" spans="1:29" s="6" customFormat="1" ht="18" customHeight="1" x14ac:dyDescent="0.25">
      <c r="A74" s="27"/>
      <c r="B74" s="32" t="s">
        <v>45</v>
      </c>
      <c r="C74" s="29"/>
      <c r="D74" s="33"/>
      <c r="E74" s="31" t="str">
        <f t="shared" ref="E74:W78" si="30">IF(OR(D74=0,$D$12=0),"-",D74/$D$12)</f>
        <v>-</v>
      </c>
      <c r="F74" s="33"/>
      <c r="G74" s="31" t="str">
        <f t="shared" ref="G74:G78" si="31">IF(OR(F74=0,$D$12=0),"-",F74/$D$12)</f>
        <v>-</v>
      </c>
      <c r="H74" s="33"/>
      <c r="I74" s="31" t="str">
        <f t="shared" ref="I74:I78" si="32">IF(OR(H74=0,$D$12=0),"-",H74/$D$12)</f>
        <v>-</v>
      </c>
      <c r="J74" s="33"/>
      <c r="K74" s="31" t="str">
        <f t="shared" ref="K74:K78" si="33">IF(OR(J74=0,$D$12=0),"-",J74/$D$12)</f>
        <v>-</v>
      </c>
      <c r="L74" s="33"/>
      <c r="M74" s="31" t="str">
        <f t="shared" ref="M74:M78" si="34">IF(OR(L74=0,$D$12=0),"-",L74/$D$12)</f>
        <v>-</v>
      </c>
      <c r="N74" s="33"/>
      <c r="O74" s="31" t="str">
        <f t="shared" ref="O74:O78" si="35">IF(OR(N74=0,$D$12=0),"-",N74/$D$12)</f>
        <v>-</v>
      </c>
      <c r="P74" s="33"/>
      <c r="Q74" s="31" t="str">
        <f t="shared" ref="Q74:Q78" si="36">IF(OR(P74=0,$D$12=0),"-",P74/$D$12)</f>
        <v>-</v>
      </c>
      <c r="R74" s="33"/>
      <c r="S74" s="31" t="str">
        <f t="shared" ref="S74:S78" si="37">IF(OR(R74=0,$D$12=0),"-",R74/$D$12)</f>
        <v>-</v>
      </c>
      <c r="T74" s="33"/>
      <c r="U74" s="31" t="str">
        <f t="shared" ref="U74:U78" si="38">IF(OR(T74=0,$D$12=0),"-",T74/$D$12)</f>
        <v>-</v>
      </c>
      <c r="V74" s="33"/>
      <c r="W74" s="31" t="str">
        <f t="shared" si="30"/>
        <v>-</v>
      </c>
      <c r="X74" s="33"/>
      <c r="Y74" s="31" t="str">
        <f>IF(OR(X74=0,$D$12=0),"-",X74/$D$12)</f>
        <v>-</v>
      </c>
      <c r="Z74" s="33"/>
      <c r="AA74" s="31" t="str">
        <f>IF(OR(Z74=0,$D$12=0),"-",Z74/$D$12)</f>
        <v>-</v>
      </c>
      <c r="AB74" s="30"/>
      <c r="AC74" s="31" t="str">
        <f>IF(OR(AB74=0,$AB$12=0),"-",AB74/$AB$12)</f>
        <v>-</v>
      </c>
    </row>
    <row r="75" spans="1:29" s="6" customFormat="1" ht="18" customHeight="1" x14ac:dyDescent="0.25">
      <c r="A75" s="27"/>
      <c r="B75" s="32" t="s">
        <v>46</v>
      </c>
      <c r="C75" s="29"/>
      <c r="D75" s="33"/>
      <c r="E75" s="31" t="str">
        <f t="shared" si="30"/>
        <v>-</v>
      </c>
      <c r="F75" s="33"/>
      <c r="G75" s="31" t="str">
        <f t="shared" si="31"/>
        <v>-</v>
      </c>
      <c r="H75" s="33"/>
      <c r="I75" s="31" t="str">
        <f t="shared" si="32"/>
        <v>-</v>
      </c>
      <c r="J75" s="33"/>
      <c r="K75" s="31" t="str">
        <f t="shared" si="33"/>
        <v>-</v>
      </c>
      <c r="L75" s="33"/>
      <c r="M75" s="31" t="str">
        <f t="shared" si="34"/>
        <v>-</v>
      </c>
      <c r="N75" s="33"/>
      <c r="O75" s="31" t="str">
        <f t="shared" si="35"/>
        <v>-</v>
      </c>
      <c r="P75" s="33"/>
      <c r="Q75" s="31" t="str">
        <f t="shared" si="36"/>
        <v>-</v>
      </c>
      <c r="R75" s="33"/>
      <c r="S75" s="31" t="str">
        <f t="shared" si="37"/>
        <v>-</v>
      </c>
      <c r="T75" s="33"/>
      <c r="U75" s="31" t="str">
        <f t="shared" si="38"/>
        <v>-</v>
      </c>
      <c r="V75" s="33"/>
      <c r="W75" s="31" t="str">
        <f t="shared" si="30"/>
        <v>-</v>
      </c>
      <c r="X75" s="33"/>
      <c r="Y75" s="31" t="str">
        <f>IF(OR(X75=0,$D$12=0),"-",X75/$D$12)</f>
        <v>-</v>
      </c>
      <c r="Z75" s="33"/>
      <c r="AA75" s="31" t="str">
        <f>IF(OR(Z75=0,$D$12=0),"-",Z75/$D$12)</f>
        <v>-</v>
      </c>
      <c r="AB75" s="30"/>
      <c r="AC75" s="31" t="str">
        <f>IF(OR(AB75=0,$AB$12=0),"-",AB75/$AB$12)</f>
        <v>-</v>
      </c>
    </row>
    <row r="76" spans="1:29" s="6" customFormat="1" ht="18" customHeight="1" x14ac:dyDescent="0.25">
      <c r="A76" s="27"/>
      <c r="B76" s="32" t="s">
        <v>9</v>
      </c>
      <c r="C76" s="29"/>
      <c r="D76" s="33"/>
      <c r="E76" s="31" t="str">
        <f t="shared" si="30"/>
        <v>-</v>
      </c>
      <c r="F76" s="33"/>
      <c r="G76" s="31" t="str">
        <f t="shared" si="31"/>
        <v>-</v>
      </c>
      <c r="H76" s="33"/>
      <c r="I76" s="31" t="str">
        <f t="shared" si="32"/>
        <v>-</v>
      </c>
      <c r="J76" s="33"/>
      <c r="K76" s="31" t="str">
        <f t="shared" si="33"/>
        <v>-</v>
      </c>
      <c r="L76" s="33"/>
      <c r="M76" s="31" t="str">
        <f t="shared" si="34"/>
        <v>-</v>
      </c>
      <c r="N76" s="33"/>
      <c r="O76" s="31" t="str">
        <f t="shared" si="35"/>
        <v>-</v>
      </c>
      <c r="P76" s="33"/>
      <c r="Q76" s="31" t="str">
        <f t="shared" si="36"/>
        <v>-</v>
      </c>
      <c r="R76" s="33"/>
      <c r="S76" s="31" t="str">
        <f t="shared" si="37"/>
        <v>-</v>
      </c>
      <c r="T76" s="33"/>
      <c r="U76" s="31" t="str">
        <f t="shared" si="38"/>
        <v>-</v>
      </c>
      <c r="V76" s="33"/>
      <c r="W76" s="31" t="str">
        <f t="shared" si="30"/>
        <v>-</v>
      </c>
      <c r="X76" s="33"/>
      <c r="Y76" s="31" t="str">
        <f>IF(OR(X76=0,$D$12=0),"-",X76/$D$12)</f>
        <v>-</v>
      </c>
      <c r="Z76" s="33"/>
      <c r="AA76" s="31" t="str">
        <f>IF(OR(Z76=0,$D$12=0),"-",Z76/$D$12)</f>
        <v>-</v>
      </c>
      <c r="AB76" s="30"/>
      <c r="AC76" s="31" t="str">
        <f>IF(OR(AB76=0,$AB$12=0),"-",AB76/$AB$12)</f>
        <v>-</v>
      </c>
    </row>
    <row r="77" spans="1:29" s="6" customFormat="1" ht="6.9" customHeight="1" x14ac:dyDescent="0.25">
      <c r="A77" s="27"/>
      <c r="B77" s="29"/>
      <c r="C77" s="29"/>
      <c r="D77" s="30"/>
      <c r="E77" s="31"/>
      <c r="F77" s="30"/>
      <c r="G77" s="31"/>
      <c r="H77" s="30"/>
      <c r="I77" s="31"/>
      <c r="J77" s="30"/>
      <c r="K77" s="31"/>
      <c r="L77" s="30"/>
      <c r="M77" s="31"/>
      <c r="N77" s="30"/>
      <c r="O77" s="31"/>
      <c r="P77" s="30"/>
      <c r="Q77" s="31"/>
      <c r="R77" s="30"/>
      <c r="S77" s="31"/>
      <c r="T77" s="30"/>
      <c r="U77" s="31"/>
      <c r="V77" s="30"/>
      <c r="W77" s="31"/>
      <c r="X77" s="30"/>
      <c r="Y77" s="31"/>
      <c r="Z77" s="30"/>
      <c r="AA77" s="31"/>
      <c r="AB77" s="30"/>
      <c r="AC77" s="31"/>
    </row>
    <row r="78" spans="1:29" s="6" customFormat="1" ht="18" customHeight="1" x14ac:dyDescent="0.25">
      <c r="A78" s="20"/>
      <c r="B78" s="24" t="s">
        <v>44</v>
      </c>
      <c r="C78" s="24"/>
      <c r="D78" s="44">
        <f>SUM(D74:D76)</f>
        <v>0</v>
      </c>
      <c r="E78" s="26" t="str">
        <f t="shared" si="30"/>
        <v>-</v>
      </c>
      <c r="F78" s="44">
        <f>SUM(F74:F76)</f>
        <v>0</v>
      </c>
      <c r="G78" s="26" t="str">
        <f t="shared" ref="G78:G82" si="39">IF(OR(F78=0,$D$12=0),"-",F78/$D$12)</f>
        <v>-</v>
      </c>
      <c r="H78" s="44">
        <f>SUM(H74:H76)</f>
        <v>0</v>
      </c>
      <c r="I78" s="26" t="str">
        <f t="shared" ref="I78:I82" si="40">IF(OR(H78=0,$D$12=0),"-",H78/$D$12)</f>
        <v>-</v>
      </c>
      <c r="J78" s="44">
        <f>SUM(J74:J76)</f>
        <v>0</v>
      </c>
      <c r="K78" s="26" t="str">
        <f t="shared" ref="K78:K82" si="41">IF(OR(J78=0,$D$12=0),"-",J78/$D$12)</f>
        <v>-</v>
      </c>
      <c r="L78" s="44">
        <f>SUM(L74:L76)</f>
        <v>0</v>
      </c>
      <c r="M78" s="26" t="str">
        <f t="shared" ref="M78:M82" si="42">IF(OR(L78=0,$D$12=0),"-",L78/$D$12)</f>
        <v>-</v>
      </c>
      <c r="N78" s="44">
        <f>SUM(N74:N76)</f>
        <v>0</v>
      </c>
      <c r="O78" s="26" t="str">
        <f t="shared" ref="O78:O82" si="43">IF(OR(N78=0,$D$12=0),"-",N78/$D$12)</f>
        <v>-</v>
      </c>
      <c r="P78" s="44">
        <f>SUM(P74:P76)</f>
        <v>0</v>
      </c>
      <c r="Q78" s="26" t="str">
        <f t="shared" ref="Q78:Q82" si="44">IF(OR(P78=0,$D$12=0),"-",P78/$D$12)</f>
        <v>-</v>
      </c>
      <c r="R78" s="44">
        <f>SUM(R74:R76)</f>
        <v>0</v>
      </c>
      <c r="S78" s="26" t="str">
        <f t="shared" ref="S78:S82" si="45">IF(OR(R78=0,$D$12=0),"-",R78/$D$12)</f>
        <v>-</v>
      </c>
      <c r="T78" s="44">
        <f>SUM(T74:T76)</f>
        <v>0</v>
      </c>
      <c r="U78" s="26" t="str">
        <f t="shared" ref="U78:U82" si="46">IF(OR(T78=0,$D$12=0),"-",T78/$D$12)</f>
        <v>-</v>
      </c>
      <c r="V78" s="44">
        <f>SUM(V74:V76)</f>
        <v>0</v>
      </c>
      <c r="W78" s="26" t="str">
        <f t="shared" si="30"/>
        <v>-</v>
      </c>
      <c r="X78" s="44">
        <f>SUM(X74:X76)</f>
        <v>0</v>
      </c>
      <c r="Y78" s="26" t="str">
        <f>IF(OR(X78=0,$D$12=0),"-",X78/$D$12)</f>
        <v>-</v>
      </c>
      <c r="Z78" s="44">
        <f>SUM(Z74:Z76)</f>
        <v>0</v>
      </c>
      <c r="AA78" s="26" t="str">
        <f>IF(OR(Z78=0,$D$12=0),"-",Z78/$D$12)</f>
        <v>-</v>
      </c>
      <c r="AB78" s="44">
        <f>SUM(AB74:AB76)</f>
        <v>0</v>
      </c>
      <c r="AC78" s="26" t="str">
        <f>IF(OR(AB78=0,$AB$12=0),"-",AB78/$AB$12)</f>
        <v>-</v>
      </c>
    </row>
    <row r="79" spans="1:29" s="6" customFormat="1" ht="18" customHeight="1" thickBot="1" x14ac:dyDescent="0.3">
      <c r="B79" s="16"/>
      <c r="C79" s="16"/>
      <c r="D79" s="13"/>
      <c r="E79" s="12"/>
      <c r="F79" s="13"/>
      <c r="G79" s="12"/>
      <c r="H79" s="13"/>
      <c r="I79" s="12"/>
      <c r="J79" s="13"/>
      <c r="K79" s="12"/>
      <c r="L79" s="13"/>
      <c r="M79" s="12"/>
      <c r="N79" s="13"/>
      <c r="O79" s="12"/>
      <c r="P79" s="13"/>
      <c r="Q79" s="12"/>
      <c r="R79" s="13"/>
      <c r="S79" s="12"/>
      <c r="T79" s="13"/>
      <c r="U79" s="12"/>
      <c r="V79" s="13"/>
      <c r="W79" s="12"/>
      <c r="X79" s="13"/>
      <c r="Y79" s="12"/>
      <c r="Z79" s="13"/>
      <c r="AA79" s="12"/>
      <c r="AB79" s="13"/>
      <c r="AC79" s="12"/>
    </row>
    <row r="80" spans="1:29" s="11" customFormat="1" ht="20.100000000000001" customHeight="1" thickTop="1" x14ac:dyDescent="0.25">
      <c r="A80" s="47"/>
      <c r="B80" s="48" t="s">
        <v>58</v>
      </c>
      <c r="C80" s="48"/>
      <c r="D80" s="49">
        <f>D70+D78</f>
        <v>0</v>
      </c>
      <c r="E80" s="50" t="str">
        <f>IF(OR(D80=0,$D$12=0),"-",D80/$D$12)</f>
        <v>-</v>
      </c>
      <c r="F80" s="49">
        <f>F70+F78</f>
        <v>0</v>
      </c>
      <c r="G80" s="50" t="str">
        <f>IF(OR(F80=0,$D$12=0),"-",F80/$D$12)</f>
        <v>-</v>
      </c>
      <c r="H80" s="49">
        <f>H70+H78</f>
        <v>0</v>
      </c>
      <c r="I80" s="50" t="str">
        <f>IF(OR(H80=0,$D$12=0),"-",H80/$D$12)</f>
        <v>-</v>
      </c>
      <c r="J80" s="49">
        <f>J70+J78</f>
        <v>0</v>
      </c>
      <c r="K80" s="50" t="str">
        <f>IF(OR(J80=0,$D$12=0),"-",J80/$D$12)</f>
        <v>-</v>
      </c>
      <c r="L80" s="49">
        <f>L70+L78</f>
        <v>0</v>
      </c>
      <c r="M80" s="50" t="str">
        <f>IF(OR(L80=0,$D$12=0),"-",L80/$D$12)</f>
        <v>-</v>
      </c>
      <c r="N80" s="49">
        <f>N70+N78</f>
        <v>0</v>
      </c>
      <c r="O80" s="50" t="str">
        <f>IF(OR(N80=0,$D$12=0),"-",N80/$D$12)</f>
        <v>-</v>
      </c>
      <c r="P80" s="49">
        <f>P70+P78</f>
        <v>0</v>
      </c>
      <c r="Q80" s="50" t="str">
        <f>IF(OR(P80=0,$D$12=0),"-",P80/$D$12)</f>
        <v>-</v>
      </c>
      <c r="R80" s="49">
        <f>R70+R78</f>
        <v>0</v>
      </c>
      <c r="S80" s="50" t="str">
        <f>IF(OR(R80=0,$D$12=0),"-",R80/$D$12)</f>
        <v>-</v>
      </c>
      <c r="T80" s="49">
        <f>T70+T78</f>
        <v>0</v>
      </c>
      <c r="U80" s="50" t="str">
        <f>IF(OR(T80=0,$D$12=0),"-",T80/$D$12)</f>
        <v>-</v>
      </c>
      <c r="V80" s="49">
        <f>V70+V78</f>
        <v>0</v>
      </c>
      <c r="W80" s="50" t="str">
        <f>IF(OR(V80=0,$D$12=0),"-",V80/$D$12)</f>
        <v>-</v>
      </c>
      <c r="X80" s="49">
        <f>X70+X78</f>
        <v>0</v>
      </c>
      <c r="Y80" s="50" t="str">
        <f>IF(OR(X80=0,$D$12=0),"-",X80/$D$12)</f>
        <v>-</v>
      </c>
      <c r="Z80" s="49">
        <f>Z70+Z78</f>
        <v>0</v>
      </c>
      <c r="AA80" s="50" t="str">
        <f>IF(OR(Z80=0,$D$12=0),"-",Z80/$D$12)</f>
        <v>-</v>
      </c>
      <c r="AB80" s="49">
        <f>AB70+AB78</f>
        <v>0</v>
      </c>
      <c r="AC80" s="50" t="str">
        <f>IF(OR(AB80=0,$AB$12=0),"-",AB80/$AB$12)</f>
        <v>-</v>
      </c>
    </row>
    <row r="81" spans="1:29" s="6" customFormat="1" ht="18" customHeight="1" x14ac:dyDescent="0.25">
      <c r="B81" s="15"/>
      <c r="C81" s="15"/>
      <c r="D81" s="13"/>
      <c r="E81" s="12"/>
      <c r="F81" s="13"/>
      <c r="G81" s="12"/>
      <c r="H81" s="13"/>
      <c r="I81" s="12"/>
      <c r="J81" s="13"/>
      <c r="K81" s="12"/>
      <c r="L81" s="13"/>
      <c r="M81" s="12"/>
      <c r="N81" s="13"/>
      <c r="O81" s="12"/>
      <c r="P81" s="13"/>
      <c r="Q81" s="12"/>
      <c r="R81" s="13"/>
      <c r="S81" s="12"/>
      <c r="T81" s="13"/>
      <c r="U81" s="12"/>
      <c r="V81" s="13"/>
      <c r="W81" s="12"/>
      <c r="X81" s="13"/>
      <c r="Y81" s="12"/>
      <c r="Z81" s="13"/>
      <c r="AA81" s="12"/>
      <c r="AB81" s="13"/>
      <c r="AC81" s="12"/>
    </row>
    <row r="82" spans="1:29" s="6" customFormat="1" ht="20.100000000000001" customHeight="1" x14ac:dyDescent="0.25">
      <c r="A82" s="40"/>
      <c r="B82" s="19" t="s">
        <v>33</v>
      </c>
      <c r="C82" s="34"/>
      <c r="D82" s="35"/>
      <c r="E82" s="45"/>
      <c r="F82" s="35"/>
      <c r="G82" s="45"/>
      <c r="H82" s="35"/>
      <c r="I82" s="45"/>
      <c r="J82" s="35"/>
      <c r="K82" s="45"/>
      <c r="L82" s="35"/>
      <c r="M82" s="45"/>
      <c r="N82" s="35"/>
      <c r="O82" s="45"/>
      <c r="P82" s="35"/>
      <c r="Q82" s="45"/>
      <c r="R82" s="35"/>
      <c r="S82" s="45"/>
      <c r="T82" s="35"/>
      <c r="U82" s="45"/>
      <c r="V82" s="35"/>
      <c r="W82" s="45"/>
      <c r="X82" s="35"/>
      <c r="Y82" s="45"/>
      <c r="Z82" s="35"/>
      <c r="AA82" s="45"/>
      <c r="AB82" s="35"/>
      <c r="AC82" s="45"/>
    </row>
    <row r="83" spans="1:29" s="6" customFormat="1" ht="6.9" customHeight="1" x14ac:dyDescent="0.25">
      <c r="A83" s="27"/>
      <c r="B83" s="22"/>
      <c r="C83" s="22"/>
      <c r="D83" s="30"/>
      <c r="E83" s="28"/>
      <c r="F83" s="30"/>
      <c r="G83" s="28"/>
      <c r="H83" s="30"/>
      <c r="I83" s="28"/>
      <c r="J83" s="30"/>
      <c r="K83" s="28"/>
      <c r="L83" s="30"/>
      <c r="M83" s="28"/>
      <c r="N83" s="30"/>
      <c r="O83" s="28"/>
      <c r="P83" s="30"/>
      <c r="Q83" s="28"/>
      <c r="R83" s="30"/>
      <c r="S83" s="28"/>
      <c r="T83" s="30"/>
      <c r="U83" s="28"/>
      <c r="V83" s="30"/>
      <c r="W83" s="28"/>
      <c r="X83" s="30"/>
      <c r="Y83" s="28"/>
      <c r="Z83" s="30"/>
      <c r="AA83" s="28"/>
      <c r="AB83" s="30"/>
      <c r="AC83" s="28"/>
    </row>
    <row r="84" spans="1:29" s="6" customFormat="1" ht="18" customHeight="1" x14ac:dyDescent="0.25">
      <c r="A84" s="27"/>
      <c r="B84" s="32" t="s">
        <v>22</v>
      </c>
      <c r="C84" s="29"/>
      <c r="D84" s="33"/>
      <c r="E84" s="31" t="str">
        <f t="shared" ref="E84:W89" si="47">IF(OR(D84=0,$D$12=0),"-",D84/$D$12)</f>
        <v>-</v>
      </c>
      <c r="F84" s="33"/>
      <c r="G84" s="31" t="str">
        <f t="shared" ref="G84:G89" si="48">IF(OR(F84=0,$D$12=0),"-",F84/$D$12)</f>
        <v>-</v>
      </c>
      <c r="H84" s="33"/>
      <c r="I84" s="31" t="str">
        <f t="shared" ref="I84:I89" si="49">IF(OR(H84=0,$D$12=0),"-",H84/$D$12)</f>
        <v>-</v>
      </c>
      <c r="J84" s="33"/>
      <c r="K84" s="31" t="str">
        <f t="shared" ref="K84:K89" si="50">IF(OR(J84=0,$D$12=0),"-",J84/$D$12)</f>
        <v>-</v>
      </c>
      <c r="L84" s="33"/>
      <c r="M84" s="31" t="str">
        <f t="shared" ref="M84:M89" si="51">IF(OR(L84=0,$D$12=0),"-",L84/$D$12)</f>
        <v>-</v>
      </c>
      <c r="N84" s="33"/>
      <c r="O84" s="31" t="str">
        <f t="shared" ref="O84:O89" si="52">IF(OR(N84=0,$D$12=0),"-",N84/$D$12)</f>
        <v>-</v>
      </c>
      <c r="P84" s="33"/>
      <c r="Q84" s="31" t="str">
        <f t="shared" ref="Q84:Q89" si="53">IF(OR(P84=0,$D$12=0),"-",P84/$D$12)</f>
        <v>-</v>
      </c>
      <c r="R84" s="33"/>
      <c r="S84" s="31" t="str">
        <f t="shared" ref="S84:S89" si="54">IF(OR(R84=0,$D$12=0),"-",R84/$D$12)</f>
        <v>-</v>
      </c>
      <c r="T84" s="33"/>
      <c r="U84" s="31" t="str">
        <f t="shared" ref="U84:U89" si="55">IF(OR(T84=0,$D$12=0),"-",T84/$D$12)</f>
        <v>-</v>
      </c>
      <c r="V84" s="33"/>
      <c r="W84" s="31" t="str">
        <f t="shared" si="47"/>
        <v>-</v>
      </c>
      <c r="X84" s="33"/>
      <c r="Y84" s="31" t="str">
        <f>IF(OR(X84=0,$D$12=0),"-",X84/$D$12)</f>
        <v>-</v>
      </c>
      <c r="Z84" s="33"/>
      <c r="AA84" s="31" t="str">
        <f>IF(OR(Z84=0,$D$12=0),"-",Z84/$D$12)</f>
        <v>-</v>
      </c>
      <c r="AB84" s="30"/>
      <c r="AC84" s="31" t="str">
        <f t="shared" ref="AC84:AC89" si="56">IF(OR(AB84=0,$AB$12=0),"-",AB84/$AB$12)</f>
        <v>-</v>
      </c>
    </row>
    <row r="85" spans="1:29" s="6" customFormat="1" ht="18" customHeight="1" x14ac:dyDescent="0.25">
      <c r="A85" s="27"/>
      <c r="B85" s="32" t="s">
        <v>23</v>
      </c>
      <c r="C85" s="29"/>
      <c r="D85" s="33"/>
      <c r="E85" s="31" t="str">
        <f t="shared" si="47"/>
        <v>-</v>
      </c>
      <c r="F85" s="33"/>
      <c r="G85" s="31" t="str">
        <f t="shared" si="48"/>
        <v>-</v>
      </c>
      <c r="H85" s="33"/>
      <c r="I85" s="31" t="str">
        <f t="shared" si="49"/>
        <v>-</v>
      </c>
      <c r="J85" s="33"/>
      <c r="K85" s="31" t="str">
        <f t="shared" si="50"/>
        <v>-</v>
      </c>
      <c r="L85" s="33"/>
      <c r="M85" s="31" t="str">
        <f t="shared" si="51"/>
        <v>-</v>
      </c>
      <c r="N85" s="33"/>
      <c r="O85" s="31" t="str">
        <f t="shared" si="52"/>
        <v>-</v>
      </c>
      <c r="P85" s="33"/>
      <c r="Q85" s="31" t="str">
        <f t="shared" si="53"/>
        <v>-</v>
      </c>
      <c r="R85" s="33"/>
      <c r="S85" s="31" t="str">
        <f t="shared" si="54"/>
        <v>-</v>
      </c>
      <c r="T85" s="33"/>
      <c r="U85" s="31" t="str">
        <f t="shared" si="55"/>
        <v>-</v>
      </c>
      <c r="V85" s="33"/>
      <c r="W85" s="31" t="str">
        <f t="shared" si="47"/>
        <v>-</v>
      </c>
      <c r="X85" s="33"/>
      <c r="Y85" s="31" t="str">
        <f>IF(OR(X85=0,$D$12=0),"-",X85/$D$12)</f>
        <v>-</v>
      </c>
      <c r="Z85" s="33"/>
      <c r="AA85" s="31" t="str">
        <f>IF(OR(Z85=0,$D$12=0),"-",Z85/$D$12)</f>
        <v>-</v>
      </c>
      <c r="AB85" s="30"/>
      <c r="AC85" s="31" t="str">
        <f t="shared" si="56"/>
        <v>-</v>
      </c>
    </row>
    <row r="86" spans="1:29" s="6" customFormat="1" ht="18" customHeight="1" x14ac:dyDescent="0.25">
      <c r="A86" s="27"/>
      <c r="B86" s="32" t="s">
        <v>24</v>
      </c>
      <c r="C86" s="29"/>
      <c r="D86" s="33"/>
      <c r="E86" s="31" t="str">
        <f t="shared" si="47"/>
        <v>-</v>
      </c>
      <c r="F86" s="33"/>
      <c r="G86" s="31" t="str">
        <f t="shared" si="48"/>
        <v>-</v>
      </c>
      <c r="H86" s="33"/>
      <c r="I86" s="31" t="str">
        <f t="shared" si="49"/>
        <v>-</v>
      </c>
      <c r="J86" s="33"/>
      <c r="K86" s="31" t="str">
        <f t="shared" si="50"/>
        <v>-</v>
      </c>
      <c r="L86" s="33"/>
      <c r="M86" s="31" t="str">
        <f t="shared" si="51"/>
        <v>-</v>
      </c>
      <c r="N86" s="33"/>
      <c r="O86" s="31" t="str">
        <f t="shared" si="52"/>
        <v>-</v>
      </c>
      <c r="P86" s="33"/>
      <c r="Q86" s="31" t="str">
        <f t="shared" si="53"/>
        <v>-</v>
      </c>
      <c r="R86" s="33"/>
      <c r="S86" s="31" t="str">
        <f t="shared" si="54"/>
        <v>-</v>
      </c>
      <c r="T86" s="33"/>
      <c r="U86" s="31" t="str">
        <f t="shared" si="55"/>
        <v>-</v>
      </c>
      <c r="V86" s="33"/>
      <c r="W86" s="31" t="str">
        <f t="shared" si="47"/>
        <v>-</v>
      </c>
      <c r="X86" s="33"/>
      <c r="Y86" s="31" t="str">
        <f>IF(OR(X86=0,$D$12=0),"-",X86/$D$12)</f>
        <v>-</v>
      </c>
      <c r="Z86" s="33"/>
      <c r="AA86" s="31" t="str">
        <f>IF(OR(Z86=0,$D$12=0),"-",Z86/$D$12)</f>
        <v>-</v>
      </c>
      <c r="AB86" s="30"/>
      <c r="AC86" s="31" t="str">
        <f t="shared" si="56"/>
        <v>-</v>
      </c>
    </row>
    <row r="87" spans="1:29" s="6" customFormat="1" ht="18" customHeight="1" x14ac:dyDescent="0.25">
      <c r="A87" s="27"/>
      <c r="B87" s="32" t="s">
        <v>25</v>
      </c>
      <c r="C87" s="29"/>
      <c r="D87" s="33"/>
      <c r="E87" s="31" t="str">
        <f t="shared" si="47"/>
        <v>-</v>
      </c>
      <c r="F87" s="33"/>
      <c r="G87" s="31" t="str">
        <f t="shared" si="48"/>
        <v>-</v>
      </c>
      <c r="H87" s="33"/>
      <c r="I87" s="31" t="str">
        <f t="shared" si="49"/>
        <v>-</v>
      </c>
      <c r="J87" s="33"/>
      <c r="K87" s="31" t="str">
        <f t="shared" si="50"/>
        <v>-</v>
      </c>
      <c r="L87" s="33"/>
      <c r="M87" s="31" t="str">
        <f t="shared" si="51"/>
        <v>-</v>
      </c>
      <c r="N87" s="33"/>
      <c r="O87" s="31" t="str">
        <f t="shared" si="52"/>
        <v>-</v>
      </c>
      <c r="P87" s="33"/>
      <c r="Q87" s="31" t="str">
        <f t="shared" si="53"/>
        <v>-</v>
      </c>
      <c r="R87" s="33"/>
      <c r="S87" s="31" t="str">
        <f t="shared" si="54"/>
        <v>-</v>
      </c>
      <c r="T87" s="33"/>
      <c r="U87" s="31" t="str">
        <f t="shared" si="55"/>
        <v>-</v>
      </c>
      <c r="V87" s="33"/>
      <c r="W87" s="31" t="str">
        <f t="shared" si="47"/>
        <v>-</v>
      </c>
      <c r="X87" s="33"/>
      <c r="Y87" s="31" t="str">
        <f>IF(OR(X87=0,$D$12=0),"-",X87/$D$12)</f>
        <v>-</v>
      </c>
      <c r="Z87" s="33"/>
      <c r="AA87" s="31" t="str">
        <f>IF(OR(Z87=0,$D$12=0),"-",Z87/$D$12)</f>
        <v>-</v>
      </c>
      <c r="AB87" s="30"/>
      <c r="AC87" s="31" t="str">
        <f t="shared" si="56"/>
        <v>-</v>
      </c>
    </row>
    <row r="88" spans="1:29" s="6" customFormat="1" ht="6.9" customHeight="1" thickBot="1" x14ac:dyDescent="0.3">
      <c r="A88" s="27"/>
      <c r="B88" s="29"/>
      <c r="C88" s="29"/>
      <c r="D88" s="30"/>
      <c r="E88" s="31"/>
      <c r="F88" s="30"/>
      <c r="G88" s="31"/>
      <c r="H88" s="30"/>
      <c r="I88" s="31"/>
      <c r="J88" s="30"/>
      <c r="K88" s="31"/>
      <c r="L88" s="30"/>
      <c r="M88" s="31"/>
      <c r="N88" s="30"/>
      <c r="O88" s="31"/>
      <c r="P88" s="30"/>
      <c r="Q88" s="31"/>
      <c r="R88" s="30"/>
      <c r="S88" s="31"/>
      <c r="T88" s="30"/>
      <c r="U88" s="31"/>
      <c r="V88" s="30"/>
      <c r="W88" s="31"/>
      <c r="X88" s="30"/>
      <c r="Y88" s="31"/>
      <c r="Z88" s="30"/>
      <c r="AA88" s="31"/>
      <c r="AB88" s="30"/>
      <c r="AC88" s="31"/>
    </row>
    <row r="89" spans="1:29" s="6" customFormat="1" ht="20.100000000000001" customHeight="1" thickTop="1" x14ac:dyDescent="0.25">
      <c r="A89" s="51"/>
      <c r="B89" s="48" t="s">
        <v>62</v>
      </c>
      <c r="C89" s="52"/>
      <c r="D89" s="49">
        <f>SUM(D84:D87)</f>
        <v>0</v>
      </c>
      <c r="E89" s="50" t="str">
        <f t="shared" si="47"/>
        <v>-</v>
      </c>
      <c r="F89" s="49">
        <f>SUM(F84:F87)</f>
        <v>0</v>
      </c>
      <c r="G89" s="50" t="str">
        <f t="shared" ref="G89:G94" si="57">IF(OR(F89=0,$D$12=0),"-",F89/$D$12)</f>
        <v>-</v>
      </c>
      <c r="H89" s="49">
        <f>SUM(H84:H87)</f>
        <v>0</v>
      </c>
      <c r="I89" s="50" t="str">
        <f t="shared" ref="I89:I94" si="58">IF(OR(H89=0,$D$12=0),"-",H89/$D$12)</f>
        <v>-</v>
      </c>
      <c r="J89" s="49">
        <f>SUM(J84:J87)</f>
        <v>0</v>
      </c>
      <c r="K89" s="50" t="str">
        <f t="shared" ref="K89:K94" si="59">IF(OR(J89=0,$D$12=0),"-",J89/$D$12)</f>
        <v>-</v>
      </c>
      <c r="L89" s="49">
        <f>SUM(L84:L87)</f>
        <v>0</v>
      </c>
      <c r="M89" s="50" t="str">
        <f t="shared" ref="M89:M94" si="60">IF(OR(L89=0,$D$12=0),"-",L89/$D$12)</f>
        <v>-</v>
      </c>
      <c r="N89" s="49">
        <f>SUM(N84:N87)</f>
        <v>0</v>
      </c>
      <c r="O89" s="50" t="str">
        <f t="shared" ref="O89:O94" si="61">IF(OR(N89=0,$D$12=0),"-",N89/$D$12)</f>
        <v>-</v>
      </c>
      <c r="P89" s="49">
        <f>SUM(P84:P87)</f>
        <v>0</v>
      </c>
      <c r="Q89" s="50" t="str">
        <f t="shared" ref="Q89:Q94" si="62">IF(OR(P89=0,$D$12=0),"-",P89/$D$12)</f>
        <v>-</v>
      </c>
      <c r="R89" s="49">
        <f>SUM(R84:R87)</f>
        <v>0</v>
      </c>
      <c r="S89" s="50" t="str">
        <f t="shared" ref="S89:S94" si="63">IF(OR(R89=0,$D$12=0),"-",R89/$D$12)</f>
        <v>-</v>
      </c>
      <c r="T89" s="49">
        <f>SUM(T84:T87)</f>
        <v>0</v>
      </c>
      <c r="U89" s="50" t="str">
        <f t="shared" ref="U89:U94" si="64">IF(OR(T89=0,$D$12=0),"-",T89/$D$12)</f>
        <v>-</v>
      </c>
      <c r="V89" s="49">
        <f>SUM(V84:V87)</f>
        <v>0</v>
      </c>
      <c r="W89" s="50" t="str">
        <f t="shared" si="47"/>
        <v>-</v>
      </c>
      <c r="X89" s="49">
        <f>SUM(X84:X87)</f>
        <v>0</v>
      </c>
      <c r="Y89" s="50" t="str">
        <f>IF(OR(X89=0,$D$12=0),"-",X89/$D$12)</f>
        <v>-</v>
      </c>
      <c r="Z89" s="49">
        <f>SUM(Z84:Z87)</f>
        <v>0</v>
      </c>
      <c r="AA89" s="50" t="str">
        <f>IF(OR(Z89=0,$D$12=0),"-",Z89/$D$12)</f>
        <v>-</v>
      </c>
      <c r="AB89" s="49">
        <f>SUM(AB84:AB87)</f>
        <v>0</v>
      </c>
      <c r="AC89" s="50" t="str">
        <f t="shared" si="56"/>
        <v>-</v>
      </c>
    </row>
    <row r="90" spans="1:29" s="6" customFormat="1" ht="18" customHeight="1" x14ac:dyDescent="0.25">
      <c r="B90" s="16"/>
      <c r="C90" s="16"/>
      <c r="D90" s="13"/>
      <c r="E90" s="12"/>
      <c r="F90" s="13"/>
      <c r="G90" s="12"/>
      <c r="H90" s="13"/>
      <c r="I90" s="12"/>
      <c r="J90" s="13"/>
      <c r="K90" s="12"/>
      <c r="L90" s="13"/>
      <c r="M90" s="12"/>
      <c r="N90" s="13"/>
      <c r="O90" s="12"/>
      <c r="P90" s="13"/>
      <c r="Q90" s="12"/>
      <c r="R90" s="13"/>
      <c r="S90" s="12"/>
      <c r="T90" s="13"/>
      <c r="U90" s="12"/>
      <c r="V90" s="13"/>
      <c r="W90" s="12"/>
      <c r="X90" s="13"/>
      <c r="Y90" s="12"/>
      <c r="Z90" s="13"/>
      <c r="AA90" s="12"/>
      <c r="AB90" s="13"/>
      <c r="AC90" s="12"/>
    </row>
    <row r="91" spans="1:29" s="11" customFormat="1" ht="20.100000000000001" customHeight="1" x14ac:dyDescent="0.25">
      <c r="A91" s="40"/>
      <c r="B91" s="19" t="s">
        <v>41</v>
      </c>
      <c r="C91" s="34"/>
      <c r="D91" s="35">
        <f>D34-D70-D89</f>
        <v>160</v>
      </c>
      <c r="E91" s="45"/>
      <c r="F91" s="35">
        <f>F34-F70-F89</f>
        <v>160</v>
      </c>
      <c r="G91" s="45"/>
      <c r="H91" s="35">
        <f>H34-H70-H89</f>
        <v>160</v>
      </c>
      <c r="I91" s="45"/>
      <c r="J91" s="35">
        <f>J34-J70-J89</f>
        <v>160</v>
      </c>
      <c r="K91" s="45"/>
      <c r="L91" s="35">
        <f>L34-L70-L89</f>
        <v>160</v>
      </c>
      <c r="M91" s="45"/>
      <c r="N91" s="35">
        <f>N34-N70-N89</f>
        <v>160</v>
      </c>
      <c r="O91" s="45"/>
      <c r="P91" s="35">
        <f>P34-P70-P89</f>
        <v>160</v>
      </c>
      <c r="Q91" s="45"/>
      <c r="R91" s="35">
        <f>R34-R70-R89</f>
        <v>160</v>
      </c>
      <c r="S91" s="45"/>
      <c r="T91" s="35">
        <f>T34-T70-T89</f>
        <v>160</v>
      </c>
      <c r="U91" s="45"/>
      <c r="V91" s="35">
        <f>V34-V70-V89</f>
        <v>160</v>
      </c>
      <c r="W91" s="45"/>
      <c r="X91" s="35">
        <f>X34-X70-X89</f>
        <v>160</v>
      </c>
      <c r="Y91" s="45"/>
      <c r="Z91" s="35">
        <f>Z34-Z70-Z89</f>
        <v>160</v>
      </c>
      <c r="AA91" s="45"/>
      <c r="AB91" s="35">
        <f>AB34-AB70-AB89</f>
        <v>640</v>
      </c>
      <c r="AC91" s="45"/>
    </row>
    <row r="92" spans="1:29" s="6" customFormat="1" ht="18" customHeight="1" x14ac:dyDescent="0.25">
      <c r="B92" s="16"/>
      <c r="C92" s="16"/>
      <c r="D92" s="13"/>
      <c r="E92" s="12"/>
      <c r="F92" s="13"/>
      <c r="G92" s="12"/>
      <c r="H92" s="13"/>
      <c r="I92" s="12"/>
      <c r="J92" s="13"/>
      <c r="K92" s="12"/>
      <c r="L92" s="13"/>
      <c r="M92" s="12"/>
      <c r="N92" s="13"/>
      <c r="O92" s="12"/>
      <c r="P92" s="13"/>
      <c r="Q92" s="12"/>
      <c r="R92" s="13"/>
      <c r="S92" s="12"/>
      <c r="T92" s="13"/>
      <c r="U92" s="12"/>
      <c r="V92" s="13"/>
      <c r="W92" s="12"/>
      <c r="X92" s="13"/>
      <c r="Y92" s="12"/>
      <c r="Z92" s="13"/>
      <c r="AA92" s="12"/>
      <c r="AB92" s="13"/>
      <c r="AC92" s="12"/>
    </row>
    <row r="93" spans="1:29" s="11" customFormat="1" ht="20.100000000000001" customHeight="1" x14ac:dyDescent="0.25">
      <c r="A93" s="40"/>
      <c r="B93" s="19" t="s">
        <v>37</v>
      </c>
      <c r="C93" s="34"/>
      <c r="D93" s="35"/>
      <c r="E93" s="45"/>
      <c r="F93" s="35"/>
      <c r="G93" s="45"/>
      <c r="H93" s="35"/>
      <c r="I93" s="45"/>
      <c r="J93" s="35"/>
      <c r="K93" s="45"/>
      <c r="L93" s="35"/>
      <c r="M93" s="45"/>
      <c r="N93" s="35"/>
      <c r="O93" s="45"/>
      <c r="P93" s="35"/>
      <c r="Q93" s="45"/>
      <c r="R93" s="35"/>
      <c r="S93" s="45"/>
      <c r="T93" s="35"/>
      <c r="U93" s="45"/>
      <c r="V93" s="35"/>
      <c r="W93" s="45"/>
      <c r="X93" s="35"/>
      <c r="Y93" s="45"/>
      <c r="Z93" s="35"/>
      <c r="AA93" s="45"/>
      <c r="AB93" s="35"/>
      <c r="AC93" s="45"/>
    </row>
    <row r="94" spans="1:29" s="6" customFormat="1" ht="6.9" customHeight="1" x14ac:dyDescent="0.25">
      <c r="A94" s="27"/>
      <c r="B94" s="46"/>
      <c r="C94" s="46"/>
      <c r="D94" s="30"/>
      <c r="E94" s="28"/>
      <c r="F94" s="30"/>
      <c r="G94" s="28"/>
      <c r="H94" s="30"/>
      <c r="I94" s="28"/>
      <c r="J94" s="30"/>
      <c r="K94" s="28"/>
      <c r="L94" s="30"/>
      <c r="M94" s="28"/>
      <c r="N94" s="30"/>
      <c r="O94" s="28"/>
      <c r="P94" s="30"/>
      <c r="Q94" s="28"/>
      <c r="R94" s="30"/>
      <c r="S94" s="28"/>
      <c r="T94" s="30"/>
      <c r="U94" s="28"/>
      <c r="V94" s="30"/>
      <c r="W94" s="28"/>
      <c r="X94" s="30"/>
      <c r="Y94" s="28"/>
      <c r="Z94" s="30"/>
      <c r="AA94" s="28"/>
      <c r="AB94" s="30"/>
      <c r="AC94" s="28"/>
    </row>
    <row r="95" spans="1:29" s="6" customFormat="1" ht="18" customHeight="1" x14ac:dyDescent="0.25">
      <c r="A95" s="27"/>
      <c r="B95" s="32" t="s">
        <v>39</v>
      </c>
      <c r="C95" s="29"/>
      <c r="D95" s="33"/>
      <c r="E95" s="31" t="str">
        <f t="shared" ref="E95:W98" si="65">IF(OR(D95=0,$D$12=0),"-",D95/$D$12)</f>
        <v>-</v>
      </c>
      <c r="F95" s="33"/>
      <c r="G95" s="31" t="str">
        <f t="shared" ref="G95:G98" si="66">IF(OR(F95=0,$D$12=0),"-",F95/$D$12)</f>
        <v>-</v>
      </c>
      <c r="H95" s="33"/>
      <c r="I95" s="31" t="str">
        <f t="shared" ref="I95:I98" si="67">IF(OR(H95=0,$D$12=0),"-",H95/$D$12)</f>
        <v>-</v>
      </c>
      <c r="J95" s="33"/>
      <c r="K95" s="31" t="str">
        <f t="shared" ref="K95:K98" si="68">IF(OR(J95=0,$D$12=0),"-",J95/$D$12)</f>
        <v>-</v>
      </c>
      <c r="L95" s="33"/>
      <c r="M95" s="31" t="str">
        <f t="shared" ref="M95:M98" si="69">IF(OR(L95=0,$D$12=0),"-",L95/$D$12)</f>
        <v>-</v>
      </c>
      <c r="N95" s="33"/>
      <c r="O95" s="31" t="str">
        <f t="shared" ref="O95:O98" si="70">IF(OR(N95=0,$D$12=0),"-",N95/$D$12)</f>
        <v>-</v>
      </c>
      <c r="P95" s="33"/>
      <c r="Q95" s="31" t="str">
        <f t="shared" ref="Q95:Q98" si="71">IF(OR(P95=0,$D$12=0),"-",P95/$D$12)</f>
        <v>-</v>
      </c>
      <c r="R95" s="33"/>
      <c r="S95" s="31" t="str">
        <f t="shared" ref="S95:S98" si="72">IF(OR(R95=0,$D$12=0),"-",R95/$D$12)</f>
        <v>-</v>
      </c>
      <c r="T95" s="33"/>
      <c r="U95" s="31" t="str">
        <f t="shared" ref="U95:U98" si="73">IF(OR(T95=0,$D$12=0),"-",T95/$D$12)</f>
        <v>-</v>
      </c>
      <c r="V95" s="33"/>
      <c r="W95" s="31" t="str">
        <f t="shared" si="65"/>
        <v>-</v>
      </c>
      <c r="X95" s="33"/>
      <c r="Y95" s="31" t="str">
        <f>IF(OR(X95=0,$D$12=0),"-",X95/$D$12)</f>
        <v>-</v>
      </c>
      <c r="Z95" s="33"/>
      <c r="AA95" s="31" t="str">
        <f>IF(OR(Z95=0,$D$12=0),"-",Z95/$D$12)</f>
        <v>-</v>
      </c>
      <c r="AB95" s="30"/>
      <c r="AC95" s="31" t="str">
        <f>IF(OR(AB95=0,$AB$12=0),"-",AB95/$AB$12)</f>
        <v>-</v>
      </c>
    </row>
    <row r="96" spans="1:29" s="6" customFormat="1" ht="18" customHeight="1" x14ac:dyDescent="0.25">
      <c r="A96" s="27"/>
      <c r="B96" s="32" t="s">
        <v>40</v>
      </c>
      <c r="C96" s="29"/>
      <c r="D96" s="33"/>
      <c r="E96" s="31" t="str">
        <f t="shared" si="65"/>
        <v>-</v>
      </c>
      <c r="F96" s="33"/>
      <c r="G96" s="31" t="str">
        <f t="shared" si="66"/>
        <v>-</v>
      </c>
      <c r="H96" s="33"/>
      <c r="I96" s="31" t="str">
        <f t="shared" si="67"/>
        <v>-</v>
      </c>
      <c r="J96" s="33"/>
      <c r="K96" s="31" t="str">
        <f t="shared" si="68"/>
        <v>-</v>
      </c>
      <c r="L96" s="33"/>
      <c r="M96" s="31" t="str">
        <f t="shared" si="69"/>
        <v>-</v>
      </c>
      <c r="N96" s="33"/>
      <c r="O96" s="31" t="str">
        <f t="shared" si="70"/>
        <v>-</v>
      </c>
      <c r="P96" s="33"/>
      <c r="Q96" s="31" t="str">
        <f t="shared" si="71"/>
        <v>-</v>
      </c>
      <c r="R96" s="33"/>
      <c r="S96" s="31" t="str">
        <f t="shared" si="72"/>
        <v>-</v>
      </c>
      <c r="T96" s="33"/>
      <c r="U96" s="31" t="str">
        <f t="shared" si="73"/>
        <v>-</v>
      </c>
      <c r="V96" s="33"/>
      <c r="W96" s="31" t="str">
        <f t="shared" si="65"/>
        <v>-</v>
      </c>
      <c r="X96" s="33"/>
      <c r="Y96" s="31" t="str">
        <f>IF(OR(X96=0,$D$12=0),"-",X96/$D$12)</f>
        <v>-</v>
      </c>
      <c r="Z96" s="33"/>
      <c r="AA96" s="31" t="str">
        <f>IF(OR(Z96=0,$D$12=0),"-",Z96/$D$12)</f>
        <v>-</v>
      </c>
      <c r="AB96" s="30"/>
      <c r="AC96" s="31" t="str">
        <f>IF(OR(AB96=0,$AB$12=0),"-",AB96/$AB$12)</f>
        <v>-</v>
      </c>
    </row>
    <row r="97" spans="1:29" s="6" customFormat="1" ht="6.9" customHeight="1" thickBot="1" x14ac:dyDescent="0.3">
      <c r="A97" s="27"/>
      <c r="B97" s="46"/>
      <c r="C97" s="46"/>
      <c r="D97" s="30"/>
      <c r="E97" s="31"/>
      <c r="F97" s="30"/>
      <c r="G97" s="31"/>
      <c r="H97" s="30"/>
      <c r="I97" s="31"/>
      <c r="J97" s="30"/>
      <c r="K97" s="31"/>
      <c r="L97" s="30"/>
      <c r="M97" s="31"/>
      <c r="N97" s="30"/>
      <c r="O97" s="31"/>
      <c r="P97" s="30"/>
      <c r="Q97" s="31"/>
      <c r="R97" s="30"/>
      <c r="S97" s="31"/>
      <c r="T97" s="30"/>
      <c r="U97" s="31"/>
      <c r="V97" s="30"/>
      <c r="W97" s="31"/>
      <c r="X97" s="30"/>
      <c r="Y97" s="31"/>
      <c r="Z97" s="30"/>
      <c r="AA97" s="31"/>
      <c r="AB97" s="30"/>
      <c r="AC97" s="31"/>
    </row>
    <row r="98" spans="1:29" s="11" customFormat="1" ht="20.100000000000001" customHeight="1" thickTop="1" x14ac:dyDescent="0.25">
      <c r="A98" s="51"/>
      <c r="B98" s="48" t="s">
        <v>61</v>
      </c>
      <c r="C98" s="53"/>
      <c r="D98" s="49">
        <f>SUM(D95:D96)</f>
        <v>0</v>
      </c>
      <c r="E98" s="50" t="str">
        <f t="shared" si="65"/>
        <v>-</v>
      </c>
      <c r="F98" s="49">
        <f>SUM(F95:F96)</f>
        <v>0</v>
      </c>
      <c r="G98" s="50" t="str">
        <f t="shared" ref="G98:G100" si="74">IF(OR(F98=0,$D$12=0),"-",F98/$D$12)</f>
        <v>-</v>
      </c>
      <c r="H98" s="49">
        <f>SUM(H95:H96)</f>
        <v>0</v>
      </c>
      <c r="I98" s="50" t="str">
        <f t="shared" ref="I98:I100" si="75">IF(OR(H98=0,$D$12=0),"-",H98/$D$12)</f>
        <v>-</v>
      </c>
      <c r="J98" s="49">
        <f>SUM(J95:J96)</f>
        <v>0</v>
      </c>
      <c r="K98" s="50" t="str">
        <f t="shared" ref="K98:K100" si="76">IF(OR(J98=0,$D$12=0),"-",J98/$D$12)</f>
        <v>-</v>
      </c>
      <c r="L98" s="49">
        <f>SUM(L95:L96)</f>
        <v>0</v>
      </c>
      <c r="M98" s="50" t="str">
        <f t="shared" ref="M98:M100" si="77">IF(OR(L98=0,$D$12=0),"-",L98/$D$12)</f>
        <v>-</v>
      </c>
      <c r="N98" s="49">
        <f>SUM(N95:N96)</f>
        <v>0</v>
      </c>
      <c r="O98" s="50" t="str">
        <f t="shared" ref="O98:O100" si="78">IF(OR(N98=0,$D$12=0),"-",N98/$D$12)</f>
        <v>-</v>
      </c>
      <c r="P98" s="49">
        <f>SUM(P95:P96)</f>
        <v>0</v>
      </c>
      <c r="Q98" s="50" t="str">
        <f t="shared" ref="Q98:Q100" si="79">IF(OR(P98=0,$D$12=0),"-",P98/$D$12)</f>
        <v>-</v>
      </c>
      <c r="R98" s="49">
        <f>SUM(R95:R96)</f>
        <v>0</v>
      </c>
      <c r="S98" s="50" t="str">
        <f t="shared" ref="S98:S100" si="80">IF(OR(R98=0,$D$12=0),"-",R98/$D$12)</f>
        <v>-</v>
      </c>
      <c r="T98" s="49">
        <f>SUM(T95:T96)</f>
        <v>0</v>
      </c>
      <c r="U98" s="50" t="str">
        <f t="shared" ref="U98:U100" si="81">IF(OR(T98=0,$D$12=0),"-",T98/$D$12)</f>
        <v>-</v>
      </c>
      <c r="V98" s="49">
        <f>SUM(V95:V96)</f>
        <v>0</v>
      </c>
      <c r="W98" s="50" t="str">
        <f t="shared" si="65"/>
        <v>-</v>
      </c>
      <c r="X98" s="49">
        <f>SUM(X95:X96)</f>
        <v>0</v>
      </c>
      <c r="Y98" s="50" t="str">
        <f>IF(OR(X98=0,$D$12=0),"-",X98/$D$12)</f>
        <v>-</v>
      </c>
      <c r="Z98" s="49">
        <f>SUM(Z95:Z96)</f>
        <v>0</v>
      </c>
      <c r="AA98" s="50" t="str">
        <f>IF(OR(Z98=0,$D$12=0),"-",Z98/$D$12)</f>
        <v>-</v>
      </c>
      <c r="AB98" s="49">
        <f>SUM(AB95:AB96)</f>
        <v>0</v>
      </c>
      <c r="AC98" s="50" t="str">
        <f>IF(OR(AB98=0,$AB$12=0),"-",AB98/$AB$12)</f>
        <v>-</v>
      </c>
    </row>
    <row r="99" spans="1:29" s="6" customFormat="1" ht="18" customHeight="1" x14ac:dyDescent="0.25">
      <c r="B99" s="16"/>
      <c r="C99" s="16"/>
      <c r="D99" s="13"/>
      <c r="E99" s="12"/>
      <c r="F99" s="13"/>
      <c r="G99" s="12"/>
      <c r="H99" s="13"/>
      <c r="I99" s="12"/>
      <c r="J99" s="13"/>
      <c r="K99" s="12"/>
      <c r="L99" s="13"/>
      <c r="M99" s="12"/>
      <c r="N99" s="13"/>
      <c r="O99" s="12"/>
      <c r="P99" s="13"/>
      <c r="Q99" s="12"/>
      <c r="R99" s="13"/>
      <c r="S99" s="12"/>
      <c r="T99" s="13"/>
      <c r="U99" s="12"/>
      <c r="V99" s="13"/>
      <c r="W99" s="12"/>
      <c r="X99" s="13"/>
      <c r="Y99" s="12"/>
      <c r="Z99" s="13"/>
      <c r="AA99" s="12"/>
      <c r="AB99" s="13"/>
      <c r="AC99" s="12"/>
    </row>
    <row r="100" spans="1:29" s="11" customFormat="1" ht="20.100000000000001" customHeight="1" x14ac:dyDescent="0.25">
      <c r="A100" s="40"/>
      <c r="B100" s="19" t="s">
        <v>38</v>
      </c>
      <c r="C100" s="34"/>
      <c r="D100" s="35">
        <f>D91-D98</f>
        <v>160</v>
      </c>
      <c r="E100" s="36">
        <f>IF(OR(D100=0,$D$12=0),"-",D100/$D$12)</f>
        <v>0.94117647058823528</v>
      </c>
      <c r="F100" s="35">
        <f>F91-F98</f>
        <v>160</v>
      </c>
      <c r="G100" s="36">
        <f>IF(OR(F100=0,$D$12=0),"-",F100/$D$12)</f>
        <v>0.94117647058823528</v>
      </c>
      <c r="H100" s="35">
        <f>H91-H98</f>
        <v>160</v>
      </c>
      <c r="I100" s="36">
        <f>IF(OR(H100=0,$D$12=0),"-",H100/$D$12)</f>
        <v>0.94117647058823528</v>
      </c>
      <c r="J100" s="35">
        <f>J91-J98</f>
        <v>160</v>
      </c>
      <c r="K100" s="36">
        <f>IF(OR(J100=0,$D$12=0),"-",J100/$D$12)</f>
        <v>0.94117647058823528</v>
      </c>
      <c r="L100" s="35">
        <f>L91-L98</f>
        <v>160</v>
      </c>
      <c r="M100" s="36">
        <f>IF(OR(L100=0,$D$12=0),"-",L100/$D$12)</f>
        <v>0.94117647058823528</v>
      </c>
      <c r="N100" s="35">
        <f>N91-N98</f>
        <v>160</v>
      </c>
      <c r="O100" s="36">
        <f>IF(OR(N100=0,$D$12=0),"-",N100/$D$12)</f>
        <v>0.94117647058823528</v>
      </c>
      <c r="P100" s="35">
        <f>P91-P98</f>
        <v>160</v>
      </c>
      <c r="Q100" s="36">
        <f>IF(OR(P100=0,$D$12=0),"-",P100/$D$12)</f>
        <v>0.94117647058823528</v>
      </c>
      <c r="R100" s="35">
        <f>R91-R98</f>
        <v>160</v>
      </c>
      <c r="S100" s="36">
        <f>IF(OR(R100=0,$D$12=0),"-",R100/$D$12)</f>
        <v>0.94117647058823528</v>
      </c>
      <c r="T100" s="35">
        <f>T91-T98</f>
        <v>160</v>
      </c>
      <c r="U100" s="36">
        <f>IF(OR(T100=0,$D$12=0),"-",T100/$D$12)</f>
        <v>0.94117647058823528</v>
      </c>
      <c r="V100" s="35">
        <f>V91-V98</f>
        <v>160</v>
      </c>
      <c r="W100" s="36">
        <f>IF(OR(V100=0,$D$12=0),"-",V100/$D$12)</f>
        <v>0.94117647058823528</v>
      </c>
      <c r="X100" s="35">
        <f>X91-X98</f>
        <v>160</v>
      </c>
      <c r="Y100" s="36">
        <f>IF(OR(X100=0,$D$12=0),"-",X100/$D$12)</f>
        <v>0.94117647058823528</v>
      </c>
      <c r="Z100" s="35">
        <f>Z91-Z98</f>
        <v>160</v>
      </c>
      <c r="AA100" s="36">
        <f>IF(OR(Z100=0,$D$12=0),"-",Z100/$D$12)</f>
        <v>0.94117647058823528</v>
      </c>
      <c r="AB100" s="35">
        <f>AB91-AB98</f>
        <v>640</v>
      </c>
      <c r="AC100" s="36">
        <f>IF(OR(AB100=0,$AB$12=0),"-",AB100/$AB$12)</f>
        <v>0.94117647058823528</v>
      </c>
    </row>
    <row r="101" spans="1:29" s="6" customFormat="1" ht="18" customHeight="1" x14ac:dyDescent="0.25">
      <c r="B101" s="7"/>
      <c r="C101" s="7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W101" s="8"/>
      <c r="Y101" s="8"/>
      <c r="AA101" s="8"/>
      <c r="AC101" s="8"/>
    </row>
  </sheetData>
  <mergeCells count="2">
    <mergeCell ref="D1:E1"/>
    <mergeCell ref="F1:H1"/>
  </mergeCells>
  <phoneticPr fontId="3" type="noConversion"/>
  <pageMargins left="0.15748031496062992" right="0.15748031496062992" top="0.19685039370078741" bottom="0.19685039370078741" header="0.51181102362204722" footer="0.11811023622047245"/>
  <pageSetup paperSize="9" scale="95" orientation="landscape" r:id="rId1"/>
  <headerFooter alignWithMargins="0"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autoPageBreaks="0"/>
  </sheetPr>
  <dimension ref="A1:U56"/>
  <sheetViews>
    <sheetView showGridLines="0" workbookViewId="0">
      <selection activeCell="H3" sqref="H3:I3"/>
    </sheetView>
  </sheetViews>
  <sheetFormatPr defaultColWidth="9.109375" defaultRowHeight="13.2" x14ac:dyDescent="0.25"/>
  <cols>
    <col min="1" max="8" width="9.109375" style="56"/>
    <col min="9" max="9" width="35.44140625" style="56" customWidth="1"/>
    <col min="10" max="16384" width="9.109375" style="56"/>
  </cols>
  <sheetData>
    <row r="1" spans="1:21" ht="30" customHeight="1" x14ac:dyDescent="0.6">
      <c r="A1" s="73" t="s">
        <v>63</v>
      </c>
      <c r="B1" s="73"/>
      <c r="C1" s="73"/>
      <c r="D1" s="73"/>
      <c r="E1" s="73"/>
      <c r="F1" s="73"/>
      <c r="G1" s="73"/>
      <c r="H1" s="73"/>
      <c r="I1" s="73"/>
      <c r="J1" s="54"/>
      <c r="K1" s="54"/>
      <c r="L1" s="54"/>
      <c r="M1" s="55"/>
      <c r="N1" s="55"/>
      <c r="O1" s="55"/>
      <c r="P1" s="55"/>
      <c r="Q1" s="55"/>
      <c r="T1" s="57"/>
      <c r="U1" s="57"/>
    </row>
    <row r="2" spans="1:21" x14ac:dyDescent="0.25">
      <c r="A2" s="58"/>
      <c r="B2" s="58"/>
      <c r="C2" s="58"/>
      <c r="D2" s="58"/>
      <c r="E2" s="58"/>
      <c r="F2" s="58"/>
      <c r="G2" s="58"/>
      <c r="H2" s="58"/>
      <c r="I2" s="59"/>
      <c r="J2" s="58"/>
      <c r="K2" s="58"/>
      <c r="L2" s="58"/>
    </row>
    <row r="3" spans="1:21" x14ac:dyDescent="0.25">
      <c r="A3" s="60"/>
      <c r="B3" s="60"/>
      <c r="H3" s="75" t="str">
        <f ca="1">"© "&amp;YEAR(TODAY())&amp;" Spreadsheet123 LTD. All rights reserved"</f>
        <v>© 2020 Spreadsheet123 LTD. All rights reserved</v>
      </c>
      <c r="I3" s="75"/>
    </row>
    <row r="4" spans="1:21" ht="5.0999999999999996" customHeight="1" x14ac:dyDescent="0.25"/>
    <row r="5" spans="1:21" ht="13.8" x14ac:dyDescent="0.25">
      <c r="A5" s="69" t="s">
        <v>64</v>
      </c>
      <c r="B5" s="69"/>
      <c r="C5" s="69"/>
      <c r="D5" s="69"/>
      <c r="E5" s="69"/>
      <c r="F5" s="69"/>
      <c r="G5" s="69"/>
      <c r="H5" s="69"/>
      <c r="I5" s="69"/>
    </row>
    <row r="6" spans="1:21" x14ac:dyDescent="0.25">
      <c r="A6" s="74" t="s">
        <v>65</v>
      </c>
      <c r="B6" s="74"/>
      <c r="C6" s="74"/>
      <c r="D6" s="74"/>
      <c r="E6" s="74"/>
      <c r="F6" s="74"/>
      <c r="G6" s="74"/>
      <c r="H6" s="74"/>
      <c r="I6" s="74"/>
    </row>
    <row r="7" spans="1:21" x14ac:dyDescent="0.25">
      <c r="A7" s="68" t="s">
        <v>66</v>
      </c>
      <c r="B7" s="68"/>
      <c r="C7" s="68"/>
      <c r="D7" s="68"/>
      <c r="E7" s="68"/>
      <c r="F7" s="68"/>
      <c r="G7" s="68"/>
      <c r="H7" s="68"/>
      <c r="I7" s="68"/>
    </row>
    <row r="8" spans="1:21" x14ac:dyDescent="0.25">
      <c r="A8" s="61" t="s">
        <v>67</v>
      </c>
      <c r="B8" s="61"/>
      <c r="C8" s="61"/>
      <c r="D8" s="61"/>
      <c r="E8" s="61"/>
      <c r="F8" s="61"/>
      <c r="G8" s="61"/>
      <c r="H8" s="61"/>
      <c r="I8" s="61"/>
    </row>
    <row r="9" spans="1:21" x14ac:dyDescent="0.25">
      <c r="A9" s="68"/>
      <c r="B9" s="68"/>
      <c r="C9" s="68"/>
      <c r="D9" s="68"/>
      <c r="E9" s="68"/>
      <c r="F9" s="68"/>
      <c r="G9" s="68"/>
      <c r="H9" s="68"/>
      <c r="I9" s="68"/>
    </row>
    <row r="10" spans="1:21" x14ac:dyDescent="0.25">
      <c r="A10" s="68" t="s">
        <v>68</v>
      </c>
      <c r="B10" s="68"/>
      <c r="C10" s="68"/>
      <c r="D10" s="68"/>
      <c r="E10" s="68"/>
      <c r="F10" s="68"/>
      <c r="G10" s="68"/>
      <c r="H10" s="68"/>
      <c r="I10" s="68"/>
    </row>
    <row r="11" spans="1:21" x14ac:dyDescent="0.25">
      <c r="A11" s="68" t="s">
        <v>69</v>
      </c>
      <c r="B11" s="68"/>
      <c r="C11" s="68"/>
      <c r="D11" s="68"/>
      <c r="E11" s="68"/>
      <c r="F11" s="68"/>
      <c r="G11" s="68"/>
      <c r="H11" s="68"/>
      <c r="I11" s="68"/>
    </row>
    <row r="12" spans="1:21" x14ac:dyDescent="0.25">
      <c r="A12" s="61"/>
      <c r="B12" s="61"/>
      <c r="C12" s="61"/>
      <c r="D12" s="61"/>
      <c r="E12" s="61"/>
      <c r="F12" s="61"/>
      <c r="G12" s="61"/>
      <c r="H12" s="61"/>
      <c r="I12" s="61"/>
    </row>
    <row r="13" spans="1:21" ht="13.8" x14ac:dyDescent="0.25">
      <c r="A13" s="69" t="s">
        <v>70</v>
      </c>
      <c r="B13" s="69"/>
      <c r="C13" s="69"/>
      <c r="D13" s="69"/>
      <c r="E13" s="69"/>
      <c r="F13" s="69"/>
      <c r="G13" s="69"/>
      <c r="H13" s="69"/>
      <c r="I13" s="69"/>
    </row>
    <row r="14" spans="1:21" x14ac:dyDescent="0.25">
      <c r="A14" s="68" t="s">
        <v>71</v>
      </c>
      <c r="B14" s="68"/>
      <c r="C14" s="68"/>
      <c r="D14" s="68"/>
      <c r="E14" s="68"/>
      <c r="F14" s="68"/>
      <c r="G14" s="68"/>
      <c r="H14" s="68"/>
      <c r="I14" s="68"/>
    </row>
    <row r="15" spans="1:21" x14ac:dyDescent="0.25">
      <c r="A15" s="68" t="s">
        <v>72</v>
      </c>
      <c r="B15" s="68"/>
      <c r="C15" s="68"/>
      <c r="D15" s="68"/>
      <c r="E15" s="68"/>
      <c r="F15" s="68"/>
      <c r="G15" s="68"/>
      <c r="H15" s="68"/>
      <c r="I15" s="68"/>
    </row>
    <row r="16" spans="1:21" x14ac:dyDescent="0.25">
      <c r="A16" s="61"/>
      <c r="B16" s="61"/>
      <c r="C16" s="61"/>
      <c r="D16" s="61"/>
      <c r="E16" s="61"/>
      <c r="F16" s="61"/>
      <c r="G16" s="61"/>
      <c r="H16" s="61"/>
      <c r="I16" s="61"/>
    </row>
    <row r="17" spans="1:9" ht="13.8" x14ac:dyDescent="0.25">
      <c r="A17" s="69" t="s">
        <v>73</v>
      </c>
      <c r="B17" s="69"/>
      <c r="C17" s="69"/>
      <c r="D17" s="69"/>
      <c r="E17" s="69"/>
      <c r="F17" s="69"/>
      <c r="G17" s="69"/>
      <c r="H17" s="69"/>
      <c r="I17" s="69"/>
    </row>
    <row r="18" spans="1:9" x14ac:dyDescent="0.25">
      <c r="A18" s="68" t="s">
        <v>104</v>
      </c>
      <c r="B18" s="68"/>
      <c r="C18" s="68"/>
      <c r="D18" s="68"/>
      <c r="E18" s="68"/>
      <c r="F18" s="68"/>
      <c r="G18" s="68"/>
      <c r="H18" s="68"/>
      <c r="I18" s="68"/>
    </row>
    <row r="19" spans="1:9" x14ac:dyDescent="0.25">
      <c r="A19" s="66" t="s">
        <v>74</v>
      </c>
      <c r="B19" s="61"/>
      <c r="C19" s="61"/>
      <c r="D19" s="61"/>
      <c r="E19" s="61"/>
      <c r="F19" s="61"/>
      <c r="G19" s="61"/>
      <c r="H19" s="61"/>
      <c r="I19" s="61"/>
    </row>
    <row r="20" spans="1:9" x14ac:dyDescent="0.25">
      <c r="A20" s="68" t="s">
        <v>75</v>
      </c>
      <c r="B20" s="68"/>
      <c r="C20" s="68"/>
      <c r="D20" s="68"/>
      <c r="E20" s="68"/>
      <c r="F20" s="68"/>
      <c r="G20" s="68"/>
      <c r="H20" s="68"/>
      <c r="I20" s="68"/>
    </row>
    <row r="21" spans="1:9" x14ac:dyDescent="0.25">
      <c r="A21" s="68" t="s">
        <v>76</v>
      </c>
      <c r="B21" s="68"/>
      <c r="C21" s="68"/>
      <c r="D21" s="68"/>
      <c r="E21" s="68"/>
      <c r="F21" s="68"/>
      <c r="G21" s="68"/>
      <c r="H21" s="68"/>
      <c r="I21" s="68"/>
    </row>
    <row r="22" spans="1:9" x14ac:dyDescent="0.25">
      <c r="A22" s="68" t="s">
        <v>77</v>
      </c>
      <c r="B22" s="68"/>
      <c r="C22" s="68"/>
      <c r="D22" s="68"/>
      <c r="E22" s="68"/>
      <c r="F22" s="68"/>
      <c r="G22" s="68"/>
      <c r="H22" s="68"/>
      <c r="I22" s="68"/>
    </row>
    <row r="23" spans="1:9" ht="14.4" x14ac:dyDescent="0.3">
      <c r="A23" s="72" t="s">
        <v>78</v>
      </c>
      <c r="B23" s="72"/>
      <c r="C23" s="72"/>
      <c r="D23" s="72"/>
      <c r="E23" s="72"/>
      <c r="F23" s="72"/>
      <c r="G23" s="72"/>
      <c r="H23" s="72"/>
      <c r="I23" s="72"/>
    </row>
    <row r="24" spans="1:9" ht="14.4" x14ac:dyDescent="0.3">
      <c r="A24" s="72" t="s">
        <v>105</v>
      </c>
      <c r="B24" s="72"/>
      <c r="C24" s="72"/>
      <c r="D24" s="72"/>
      <c r="E24" s="72"/>
      <c r="F24" s="72"/>
      <c r="G24" s="72"/>
      <c r="H24" s="72"/>
      <c r="I24" s="72"/>
    </row>
    <row r="25" spans="1:9" ht="14.4" x14ac:dyDescent="0.3">
      <c r="A25" s="67" t="s">
        <v>106</v>
      </c>
      <c r="B25" s="67"/>
      <c r="C25" s="67"/>
      <c r="D25" s="67"/>
      <c r="E25" s="67"/>
      <c r="F25" s="67"/>
      <c r="G25" s="67"/>
      <c r="H25" s="67"/>
      <c r="I25" s="67"/>
    </row>
    <row r="26" spans="1:9" ht="14.4" x14ac:dyDescent="0.3">
      <c r="A26" s="67" t="s">
        <v>79</v>
      </c>
      <c r="B26" s="67"/>
      <c r="C26" s="67"/>
      <c r="D26" s="67"/>
      <c r="E26" s="67"/>
      <c r="F26" s="67"/>
      <c r="G26" s="67"/>
      <c r="H26" s="67"/>
      <c r="I26" s="67"/>
    </row>
    <row r="27" spans="1:9" ht="14.4" x14ac:dyDescent="0.3">
      <c r="A27" s="67" t="s">
        <v>80</v>
      </c>
      <c r="B27" s="67"/>
      <c r="C27" s="67"/>
      <c r="D27" s="67"/>
      <c r="E27" s="67"/>
      <c r="F27" s="67"/>
      <c r="G27" s="67"/>
      <c r="H27" s="67"/>
      <c r="I27" s="67"/>
    </row>
    <row r="28" spans="1:9" x14ac:dyDescent="0.25">
      <c r="A28" s="61"/>
      <c r="B28" s="61"/>
      <c r="C28" s="61"/>
      <c r="D28" s="61"/>
      <c r="E28" s="61"/>
      <c r="F28" s="61"/>
      <c r="G28" s="61"/>
      <c r="H28" s="61"/>
      <c r="I28" s="61"/>
    </row>
    <row r="29" spans="1:9" ht="13.8" x14ac:dyDescent="0.25">
      <c r="A29" s="69" t="s">
        <v>81</v>
      </c>
      <c r="B29" s="69"/>
      <c r="C29" s="69"/>
      <c r="D29" s="69"/>
      <c r="E29" s="69"/>
      <c r="F29" s="69"/>
      <c r="G29" s="69"/>
      <c r="H29" s="69"/>
      <c r="I29" s="69"/>
    </row>
    <row r="30" spans="1:9" ht="15" customHeight="1" x14ac:dyDescent="0.25">
      <c r="A30" s="71" t="s">
        <v>82</v>
      </c>
      <c r="B30" s="71"/>
      <c r="C30" s="71"/>
      <c r="D30" s="71"/>
      <c r="E30" s="71"/>
      <c r="F30" s="71"/>
      <c r="G30" s="71"/>
      <c r="H30" s="71"/>
      <c r="I30" s="71"/>
    </row>
    <row r="31" spans="1:9" ht="15" customHeight="1" x14ac:dyDescent="0.25">
      <c r="A31" s="71" t="s">
        <v>83</v>
      </c>
      <c r="B31" s="71"/>
      <c r="C31" s="71"/>
      <c r="D31" s="71"/>
      <c r="E31" s="71"/>
      <c r="F31" s="71"/>
      <c r="G31" s="71"/>
      <c r="H31" s="71"/>
      <c r="I31" s="71"/>
    </row>
    <row r="32" spans="1:9" x14ac:dyDescent="0.25">
      <c r="A32" s="71" t="s">
        <v>84</v>
      </c>
      <c r="B32" s="68"/>
      <c r="C32" s="68"/>
      <c r="D32" s="68"/>
      <c r="E32" s="68"/>
      <c r="F32" s="68"/>
      <c r="G32" s="68"/>
      <c r="H32" s="68"/>
      <c r="I32" s="68"/>
    </row>
    <row r="33" spans="1:9" x14ac:dyDescent="0.25">
      <c r="A33" s="71" t="s">
        <v>85</v>
      </c>
      <c r="B33" s="71"/>
      <c r="C33" s="71"/>
      <c r="D33" s="71"/>
      <c r="E33" s="71"/>
      <c r="F33" s="71"/>
      <c r="G33" s="71"/>
      <c r="H33" s="71"/>
      <c r="I33" s="71"/>
    </row>
    <row r="34" spans="1:9" x14ac:dyDescent="0.25">
      <c r="A34" s="61"/>
      <c r="B34" s="61"/>
      <c r="C34" s="61"/>
      <c r="D34" s="61"/>
      <c r="E34" s="61"/>
      <c r="F34" s="61"/>
      <c r="G34" s="61"/>
      <c r="H34" s="61"/>
      <c r="I34" s="61"/>
    </row>
    <row r="35" spans="1:9" ht="13.8" x14ac:dyDescent="0.25">
      <c r="A35" s="69" t="s">
        <v>86</v>
      </c>
      <c r="B35" s="69"/>
      <c r="C35" s="69"/>
      <c r="D35" s="69"/>
      <c r="E35" s="69"/>
      <c r="F35" s="69"/>
      <c r="G35" s="69"/>
      <c r="H35" s="69"/>
      <c r="I35" s="69"/>
    </row>
    <row r="36" spans="1:9" s="62" customFormat="1" ht="14.4" x14ac:dyDescent="0.3">
      <c r="A36" s="70" t="s">
        <v>87</v>
      </c>
      <c r="B36" s="70"/>
      <c r="C36" s="70"/>
      <c r="D36" s="70"/>
      <c r="E36" s="70"/>
      <c r="F36" s="70"/>
      <c r="G36" s="70"/>
      <c r="H36" s="70"/>
      <c r="I36" s="70"/>
    </row>
    <row r="37" spans="1:9" s="62" customFormat="1" x14ac:dyDescent="0.25">
      <c r="A37" s="70" t="s">
        <v>88</v>
      </c>
      <c r="B37" s="70"/>
      <c r="C37" s="70"/>
      <c r="D37" s="70"/>
      <c r="E37" s="70"/>
      <c r="F37" s="70"/>
      <c r="G37" s="70"/>
      <c r="H37" s="70"/>
      <c r="I37" s="70"/>
    </row>
    <row r="38" spans="1:9" x14ac:dyDescent="0.25">
      <c r="A38" s="61"/>
      <c r="B38" s="61"/>
      <c r="C38" s="61"/>
      <c r="D38" s="61"/>
      <c r="E38" s="61"/>
      <c r="F38" s="61"/>
      <c r="G38" s="61"/>
      <c r="H38" s="61"/>
      <c r="I38" s="61"/>
    </row>
    <row r="39" spans="1:9" ht="13.8" x14ac:dyDescent="0.25">
      <c r="A39" s="69" t="s">
        <v>89</v>
      </c>
      <c r="B39" s="69"/>
      <c r="C39" s="69"/>
      <c r="D39" s="69"/>
      <c r="E39" s="69"/>
      <c r="F39" s="69"/>
      <c r="G39" s="69"/>
      <c r="H39" s="69"/>
      <c r="I39" s="69"/>
    </row>
    <row r="40" spans="1:9" x14ac:dyDescent="0.25">
      <c r="A40" s="68" t="s">
        <v>90</v>
      </c>
      <c r="B40" s="68"/>
      <c r="C40" s="68"/>
      <c r="D40" s="68"/>
      <c r="E40" s="68"/>
      <c r="F40" s="68"/>
      <c r="G40" s="68"/>
      <c r="H40" s="68"/>
      <c r="I40" s="68"/>
    </row>
    <row r="41" spans="1:9" x14ac:dyDescent="0.25">
      <c r="A41" s="68" t="s">
        <v>91</v>
      </c>
      <c r="B41" s="68"/>
      <c r="C41" s="68"/>
      <c r="D41" s="68"/>
      <c r="E41" s="68"/>
      <c r="F41" s="68"/>
      <c r="G41" s="68"/>
      <c r="H41" s="68"/>
      <c r="I41" s="68"/>
    </row>
    <row r="42" spans="1:9" x14ac:dyDescent="0.25">
      <c r="A42" s="68" t="s">
        <v>92</v>
      </c>
      <c r="B42" s="68"/>
      <c r="C42" s="68"/>
      <c r="D42" s="68"/>
      <c r="E42" s="68"/>
      <c r="F42" s="68"/>
      <c r="G42" s="68"/>
      <c r="H42" s="68"/>
      <c r="I42" s="68"/>
    </row>
    <row r="43" spans="1:9" x14ac:dyDescent="0.25">
      <c r="A43" s="68" t="s">
        <v>93</v>
      </c>
      <c r="B43" s="68"/>
      <c r="C43" s="68"/>
      <c r="D43" s="68"/>
      <c r="E43" s="68"/>
      <c r="F43" s="68"/>
      <c r="G43" s="68"/>
      <c r="H43" s="68"/>
      <c r="I43" s="68"/>
    </row>
    <row r="44" spans="1:9" x14ac:dyDescent="0.25">
      <c r="A44" s="68" t="s">
        <v>94</v>
      </c>
      <c r="B44" s="68"/>
      <c r="C44" s="68"/>
      <c r="D44" s="68"/>
      <c r="E44" s="68"/>
      <c r="F44" s="68"/>
      <c r="G44" s="68"/>
      <c r="H44" s="68"/>
      <c r="I44" s="68"/>
    </row>
    <row r="45" spans="1:9" x14ac:dyDescent="0.25">
      <c r="A45" s="68" t="s">
        <v>95</v>
      </c>
      <c r="B45" s="68"/>
      <c r="C45" s="68"/>
      <c r="D45" s="68"/>
      <c r="E45" s="68"/>
      <c r="F45" s="68"/>
      <c r="G45" s="68"/>
      <c r="H45" s="68"/>
      <c r="I45" s="68"/>
    </row>
    <row r="46" spans="1:9" x14ac:dyDescent="0.25">
      <c r="A46" s="68" t="s">
        <v>96</v>
      </c>
      <c r="B46" s="68"/>
      <c r="C46" s="68"/>
      <c r="D46" s="68"/>
      <c r="E46" s="68"/>
      <c r="F46" s="68"/>
      <c r="G46" s="68"/>
      <c r="H46" s="68"/>
      <c r="I46" s="68"/>
    </row>
    <row r="47" spans="1:9" x14ac:dyDescent="0.25">
      <c r="A47" s="68" t="s">
        <v>97</v>
      </c>
      <c r="B47" s="68"/>
      <c r="C47" s="68"/>
      <c r="D47" s="68"/>
      <c r="E47" s="68"/>
      <c r="F47" s="68"/>
      <c r="G47" s="68"/>
      <c r="H47" s="68"/>
      <c r="I47" s="68"/>
    </row>
    <row r="48" spans="1:9" x14ac:dyDescent="0.25">
      <c r="A48" s="61"/>
      <c r="B48" s="61"/>
      <c r="C48" s="61"/>
      <c r="D48" s="61"/>
      <c r="E48" s="61"/>
      <c r="F48" s="61"/>
      <c r="G48" s="61"/>
      <c r="H48" s="61"/>
      <c r="I48" s="61"/>
    </row>
    <row r="49" spans="1:9" s="65" customFormat="1" ht="9.6" x14ac:dyDescent="0.2">
      <c r="A49" s="63" t="s">
        <v>98</v>
      </c>
      <c r="B49" s="64"/>
      <c r="C49" s="64"/>
      <c r="D49" s="64"/>
      <c r="E49" s="64"/>
      <c r="F49" s="64"/>
      <c r="G49" s="64"/>
      <c r="H49" s="64"/>
      <c r="I49" s="64"/>
    </row>
    <row r="50" spans="1:9" s="65" customFormat="1" ht="9.6" x14ac:dyDescent="0.2">
      <c r="A50" s="64" t="s">
        <v>99</v>
      </c>
      <c r="B50" s="64"/>
      <c r="C50" s="64"/>
      <c r="D50" s="64"/>
      <c r="E50" s="64"/>
      <c r="F50" s="64"/>
      <c r="G50" s="64"/>
      <c r="H50" s="64"/>
      <c r="I50" s="64"/>
    </row>
    <row r="51" spans="1:9" s="65" customFormat="1" ht="9.6" x14ac:dyDescent="0.2">
      <c r="A51" s="64" t="s">
        <v>100</v>
      </c>
      <c r="B51" s="64"/>
      <c r="C51" s="64"/>
      <c r="D51" s="64"/>
      <c r="E51" s="64"/>
      <c r="F51" s="64"/>
      <c r="G51" s="64"/>
      <c r="H51" s="64"/>
      <c r="I51" s="64"/>
    </row>
    <row r="52" spans="1:9" x14ac:dyDescent="0.25">
      <c r="A52" s="61"/>
      <c r="B52" s="61"/>
      <c r="C52" s="61"/>
      <c r="D52" s="61"/>
      <c r="E52" s="61"/>
      <c r="F52" s="61"/>
      <c r="G52" s="61"/>
      <c r="H52" s="61"/>
      <c r="I52" s="61"/>
    </row>
    <row r="53" spans="1:9" ht="13.8" x14ac:dyDescent="0.25">
      <c r="A53" s="69" t="s">
        <v>101</v>
      </c>
      <c r="B53" s="69"/>
      <c r="C53" s="69"/>
      <c r="D53" s="69"/>
      <c r="E53" s="69"/>
      <c r="F53" s="69"/>
      <c r="G53" s="69"/>
      <c r="H53" s="69"/>
      <c r="I53" s="69"/>
    </row>
    <row r="54" spans="1:9" x14ac:dyDescent="0.25">
      <c r="A54" s="68" t="s">
        <v>102</v>
      </c>
      <c r="B54" s="68"/>
      <c r="C54" s="68"/>
      <c r="D54" s="68"/>
      <c r="E54" s="68"/>
      <c r="F54" s="68"/>
      <c r="G54" s="68"/>
      <c r="H54" s="68"/>
      <c r="I54" s="68"/>
    </row>
    <row r="55" spans="1:9" x14ac:dyDescent="0.25">
      <c r="A55" s="61" t="s">
        <v>103</v>
      </c>
      <c r="B55" s="61"/>
      <c r="C55" s="61"/>
      <c r="D55" s="61"/>
      <c r="E55" s="61"/>
      <c r="F55" s="61"/>
      <c r="G55" s="61"/>
      <c r="H55" s="61"/>
      <c r="I55" s="61"/>
    </row>
    <row r="56" spans="1:9" x14ac:dyDescent="0.25">
      <c r="A56" s="61"/>
      <c r="B56" s="61"/>
      <c r="C56" s="61"/>
      <c r="D56" s="61"/>
      <c r="E56" s="61"/>
      <c r="F56" s="61"/>
      <c r="G56" s="61"/>
      <c r="H56" s="61"/>
      <c r="I56" s="61"/>
    </row>
  </sheetData>
  <mergeCells count="37">
    <mergeCell ref="A9:I9"/>
    <mergeCell ref="A1:I1"/>
    <mergeCell ref="A5:I5"/>
    <mergeCell ref="A6:I6"/>
    <mergeCell ref="A7:I7"/>
    <mergeCell ref="H3:I3"/>
    <mergeCell ref="A24:I24"/>
    <mergeCell ref="A10:I10"/>
    <mergeCell ref="A11:I11"/>
    <mergeCell ref="A13:I13"/>
    <mergeCell ref="A14:I14"/>
    <mergeCell ref="A15:I15"/>
    <mergeCell ref="A17:I17"/>
    <mergeCell ref="A18:I18"/>
    <mergeCell ref="A20:I20"/>
    <mergeCell ref="A21:I21"/>
    <mergeCell ref="A22:I22"/>
    <mergeCell ref="A23:I23"/>
    <mergeCell ref="A42:I42"/>
    <mergeCell ref="A29:I29"/>
    <mergeCell ref="A30:I30"/>
    <mergeCell ref="A31:I31"/>
    <mergeCell ref="A32:I32"/>
    <mergeCell ref="A33:I33"/>
    <mergeCell ref="A35:I35"/>
    <mergeCell ref="A36:I36"/>
    <mergeCell ref="A37:I37"/>
    <mergeCell ref="A39:I39"/>
    <mergeCell ref="A40:I40"/>
    <mergeCell ref="A41:I41"/>
    <mergeCell ref="A54:I54"/>
    <mergeCell ref="A43:I43"/>
    <mergeCell ref="A44:I44"/>
    <mergeCell ref="A45:I45"/>
    <mergeCell ref="A46:I46"/>
    <mergeCell ref="A47:I47"/>
    <mergeCell ref="A53:I53"/>
  </mergeCells>
  <phoneticPr fontId="3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Profit &amp; Loss</vt:lpstr>
      <vt:lpstr>EULA</vt:lpstr>
      <vt:lpstr>'Profit &amp; Loss'!Print_Area</vt:lpstr>
    </vt:vector>
  </TitlesOfParts>
  <Company>Spreadsheet123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Profit and Loss</dc:title>
  <dc:creator>Spreadsheet123.com</dc:creator>
  <dc:description>© 2013 Spreadsheet123 LTD. All rights reserved</dc:description>
  <cp:lastModifiedBy>Joseph Pfeiffer</cp:lastModifiedBy>
  <cp:lastPrinted>2013-12-11T12:20:48Z</cp:lastPrinted>
  <dcterms:created xsi:type="dcterms:W3CDTF">2013-12-09T14:42:03Z</dcterms:created>
  <dcterms:modified xsi:type="dcterms:W3CDTF">2020-07-17T20:33:45Z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© 2013 Spreadsheet123 LTD</vt:lpwstr>
  </property>
  <property fmtid="{D5CDD505-2E9C-101B-9397-08002B2CF9AE}" pid="3" name="Version">
    <vt:lpwstr>1.0.0</vt:lpwstr>
  </property>
</Properties>
</file>